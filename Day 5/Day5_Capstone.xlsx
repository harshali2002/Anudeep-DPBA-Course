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Anudeep\Excel\Day 5\"/>
    </mc:Choice>
  </mc:AlternateContent>
  <xr:revisionPtr revIDLastSave="0" documentId="13_ncr:1_{C390B8F5-4FE1-4D79-BB90-4F4F95C079CA}" xr6:coauthVersionLast="47" xr6:coauthVersionMax="47" xr10:uidLastSave="{00000000-0000-0000-0000-000000000000}"/>
  <bookViews>
    <workbookView xWindow="-108" yWindow="-108" windowWidth="23256" windowHeight="12456" xr2:uid="{52C35149-140F-44E3-9AE9-432405C2AE08}"/>
  </bookViews>
  <sheets>
    <sheet name="Sheet1" sheetId="1" r:id="rId1"/>
  </sheets>
  <definedNames>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7" i="1" l="1"/>
  <c r="C27" i="1"/>
  <c r="D27" i="1"/>
  <c r="E27" i="1"/>
  <c r="F27" i="1"/>
</calcChain>
</file>

<file path=xl/sharedStrings.xml><?xml version="1.0" encoding="utf-8"?>
<sst xmlns="http://schemas.openxmlformats.org/spreadsheetml/2006/main" count="107" uniqueCount="42">
  <si>
    <t>ShipID</t>
  </si>
  <si>
    <t>Date</t>
  </si>
  <si>
    <t>Priority</t>
  </si>
  <si>
    <t>Region</t>
  </si>
  <si>
    <t>Cost</t>
  </si>
  <si>
    <t>Status</t>
  </si>
  <si>
    <t>SHP-1001</t>
  </si>
  <si>
    <t>High</t>
  </si>
  <si>
    <t>West</t>
  </si>
  <si>
    <t>Delivered</t>
  </si>
  <si>
    <t>SHP-1002</t>
  </si>
  <si>
    <t>Low</t>
  </si>
  <si>
    <t>North</t>
  </si>
  <si>
    <t>SHP-1003</t>
  </si>
  <si>
    <t>Medium</t>
  </si>
  <si>
    <t>South</t>
  </si>
  <si>
    <t>Pending</t>
  </si>
  <si>
    <t>SHP-1004</t>
  </si>
  <si>
    <t>Returned</t>
  </si>
  <si>
    <t>SHP-1005</t>
  </si>
  <si>
    <t>East</t>
  </si>
  <si>
    <t>SHP-1006</t>
  </si>
  <si>
    <t>SHP-1007</t>
  </si>
  <si>
    <t>SHP-1008</t>
  </si>
  <si>
    <t>SHP-1009</t>
  </si>
  <si>
    <t>SHP-1010</t>
  </si>
  <si>
    <t>SHP-1011</t>
  </si>
  <si>
    <t>SHP-1012</t>
  </si>
  <si>
    <t>SHP-1013</t>
  </si>
  <si>
    <t>SHP-1014</t>
  </si>
  <si>
    <t>SHP-1015</t>
  </si>
  <si>
    <t>SHP-1016</t>
  </si>
  <si>
    <t>SHP-1017</t>
  </si>
  <si>
    <t>SHP-1018</t>
  </si>
  <si>
    <t>SHP-1019</t>
  </si>
  <si>
    <t>SHP-1020</t>
  </si>
  <si>
    <t>SHP-1021</t>
  </si>
  <si>
    <t>SHP-1022</t>
  </si>
  <si>
    <t>SHP-1023</t>
  </si>
  <si>
    <t>SHP-1024</t>
  </si>
  <si>
    <t>SHP-1025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</si>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</sst>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cellXfs>
  <cellStyles count="1">
    <cellStyle name="Normal" xfId="0" builtinId="0"/>
  </cellStyles>
  <dxfs count="22">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top/>
        <bottom/>
      </border>
    </dxf>
    <dxf>
      <alignment horizontal="center" vertical="bottom" textRotation="0" wrapText="0" indent="0" justifyLastLine="0" shrinkToFit="0" readingOrder="0"/>
      <border diagonalUp="0" diagonalDown="0" outline="0">
        <left/>
        <right style="thin">
          <color indexed="64"/>
        </right>
        <top/>
        <bottom/>
      </border>
    </dxf>
    <dxf>
      <font>
        <color rgb="FF9C0006"/>
      </font>
      <fill>
        <patternFill>
          <bgColor rgb="FFFFC7CE"/>
        </patternFill>
      </fill>
    </dxf>
    <dxf>
      <font>
        <color rgb="FF9C0006"/>
      </font>
      <fill>
        <patternFill>
          <bgColor rgb="FFFFC7CE"/>
        </patternFill>
      </fill>
    </dxf>
    <dxf>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13970</xdr:colOff>
      <xdr:row>1</xdr:row>
      <xdr:rowOff>10160</xdr:rowOff>
    </xdr:from>
    <xdr:to>
      <xdr:col>20</xdr:col>
      <xdr:colOff>20320</xdr:colOff>
      <xdr:row>17</xdr:row>
      <xdr:rowOff>129540</xdr:rowOff>
    </xdr:to>
    <xdr:sp macro="" textlink="">
      <xdr:nvSpPr>
        <xdr:cNvPr id="2" name="TextBox 1">
          <a:extLst>
            <a:ext uri="{FF2B5EF4-FFF2-40B4-BE49-F238E27FC236}">
              <a16:creationId xmlns:a16="http://schemas.microsoft.com/office/drawing/2014/main" id="{48B053BF-55BA-40CB-8A34-DC2AAE277248}"/>
            </a:ext>
          </a:extLst>
        </xdr:cNvPr>
        <xdr:cNvSpPr txBox="1"/>
      </xdr:nvSpPr>
      <xdr:spPr>
        <a:xfrm>
          <a:off x="6727190" y="193040"/>
          <a:ext cx="5492750" cy="3045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1. The Scenario</a:t>
          </a:r>
        </a:p>
        <a:p>
          <a:r>
            <a:rPr lang="en-IN"/>
            <a:t>"You are the MIS Executive for a Global Logistics Company. The VP of Operations has 3 specific questions about the 'Shipping_Log' file. She has 5 minutes. You cannot send her raw data."</a:t>
          </a:r>
        </a:p>
        <a:p>
          <a:r>
            <a:rPr lang="en-IN" b="1"/>
            <a:t>2. The Dataset</a:t>
          </a:r>
        </a:p>
        <a:p>
          <a:r>
            <a:rPr lang="en-IN" b="1"/>
            <a:t>Columns:</a:t>
          </a:r>
          <a:r>
            <a:rPr lang="en-IN"/>
            <a:t> ShipID, Date, Priority (High/Med/Low), Region, Cost, Status (Delivered/Pending/Returned).</a:t>
          </a:r>
        </a:p>
        <a:p>
          <a:r>
            <a:rPr lang="en-IN" b="1"/>
            <a:t>3. The Task</a:t>
          </a:r>
        </a:p>
        <a:p>
          <a:r>
            <a:rPr lang="en-IN" b="1"/>
            <a:t>Requirement 1 (Organize):</a:t>
          </a:r>
          <a:r>
            <a:rPr lang="en-IN"/>
            <a:t> Sort the data first by Region (A-Z), then by Priority (Custom List: High -&gt; Low), then by Cost (High -&gt; Low).</a:t>
          </a:r>
        </a:p>
        <a:p>
          <a:r>
            <a:rPr lang="en-IN" b="1"/>
            <a:t>Requirement 2 (Visualize Risks):</a:t>
          </a:r>
          <a:r>
            <a:rPr lang="en-IN"/>
            <a:t> Use Conditional Formatting to:</a:t>
          </a:r>
        </a:p>
        <a:p>
          <a:pPr lvl="1"/>
          <a:r>
            <a:rPr lang="en-IN"/>
            <a:t>Turn the Status cell Red if it says "Returned".</a:t>
          </a:r>
        </a:p>
        <a:p>
          <a:pPr lvl="1"/>
          <a:r>
            <a:rPr lang="en-IN"/>
            <a:t>Add "Data Bars" to the Cost column (Blue color).</a:t>
          </a:r>
        </a:p>
        <a:p>
          <a:r>
            <a:rPr lang="en-IN" b="1"/>
            <a:t>Requirement 3 (The Report):</a:t>
          </a:r>
          <a:r>
            <a:rPr lang="en-IN"/>
            <a:t> Convert data to a Table (Ctrl+T). Add a Slicer for Region.</a:t>
          </a:r>
        </a:p>
        <a:p>
          <a:r>
            <a:rPr lang="en-IN" b="1"/>
            <a:t>Requirement 4 (The Answer):</a:t>
          </a:r>
          <a:r>
            <a:rPr lang="en-IN"/>
            <a:t> Filter the Slicer to "West". Look at the Total Row.</a:t>
          </a:r>
        </a:p>
        <a:p>
          <a:pPr lvl="1"/>
          <a:r>
            <a:rPr lang="en-IN" i="1"/>
            <a:t>Question:</a:t>
          </a:r>
          <a:r>
            <a:rPr lang="en-IN"/>
            <a:t> What is the Total Cost for the West region?</a:t>
          </a:r>
        </a:p>
        <a:p>
          <a:pPr lvl="1"/>
          <a:r>
            <a:rPr lang="en-IN" i="1"/>
            <a:t>Question:</a:t>
          </a:r>
          <a:r>
            <a:rPr lang="en-IN"/>
            <a:t> How many "High" priority shipments are in the West? (Filter Priority).</a:t>
          </a:r>
        </a:p>
        <a:p>
          <a:endParaRPr lang="en-IN" sz="1100"/>
        </a:p>
      </xdr:txBody>
    </xdr:sp>
    <xdr:clientData/>
  </xdr:twoCellAnchor>
  <xdr:twoCellAnchor editAs="absolute">
    <xdr:from>
      <xdr:col>7</xdr:col>
      <xdr:colOff>15240</xdr:colOff>
      <xdr:row>1</xdr:row>
      <xdr:rowOff>15241</xdr:rowOff>
    </xdr:from>
    <xdr:to>
      <xdr:col>10</xdr:col>
      <xdr:colOff>15240</xdr:colOff>
      <xdr:row>8</xdr:row>
      <xdr:rowOff>137161</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F646CB80-FE28-9AEA-2E7B-9DA9B07902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90060" y="19812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FE4DE8-97E3-440D-A9C6-10E06577207F}" sourceName="Reg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63F227-98F2-40E5-8131-21DDC8562C0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EF591D-A136-4949-9B53-81F6D4DBDFE1}" name="Table1" displayName="Table1" ref="A1:F27" totalsRowCount="1" headerRowDxfId="8" dataDxfId="9" headerRowBorderDxfId="17" tableBorderDxfId="18" totalsRowBorderDxfId="16">
  <autoFilter ref="A1:F26" xr:uid="{A7EF591D-A136-4949-9B53-81F6D4DBDFE1}"/>
  <tableColumns count="6">
    <tableColumn id="1" xr3:uid="{1109BFD6-92F0-410A-8305-A4C26A400DE4}" name="ShipID" totalsRowLabel="Total" dataDxfId="15" totalsRowDxfId="5"/>
    <tableColumn id="2" xr3:uid="{671ABA5B-D288-42C6-8307-74DF4D11995F}" name="Date" totalsRowFunction="count" dataDxfId="14" totalsRowDxfId="0"/>
    <tableColumn id="3" xr3:uid="{C291D50B-7800-4297-B9E0-DD5D09058B1A}" name="Priority" totalsRowFunction="count" dataDxfId="13" totalsRowDxfId="1"/>
    <tableColumn id="4" xr3:uid="{0FE19354-82D9-4893-B7A8-6E6E12729118}" name="Region" totalsRowFunction="count" dataDxfId="12" totalsRowDxfId="2"/>
    <tableColumn id="5" xr3:uid="{15A1CC43-CBBF-49DF-9B65-3D4833BADEF1}" name="Cost" totalsRowFunction="sum" dataDxfId="11" totalsRowDxfId="3"/>
    <tableColumn id="6" xr3:uid="{820E89A1-A294-411F-B427-514E485B03E8}" name="Status" totalsRowFunction="count" dataDxfId="10" totalsRow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3E41-02DD-4C3C-9AEB-C31E52B3707A}">
  <dimension ref="A1:F27"/>
  <sheetViews>
    <sheetView tabSelected="1" workbookViewId="0">
      <selection activeCell="J12" sqref="J12"/>
    </sheetView>
  </sheetViews>
  <sheetFormatPr defaultRowHeight="14.4" x14ac:dyDescent="0.3"/>
  <cols>
    <col min="1" max="1" width="8.77734375" bestFit="1" customWidth="1"/>
    <col min="2" max="2" width="10.33203125" bestFit="1" customWidth="1"/>
    <col min="3" max="3" width="9" customWidth="1"/>
    <col min="4" max="4" width="8.6640625" customWidth="1"/>
    <col min="5" max="5" width="8" bestFit="1" customWidth="1"/>
    <col min="6" max="6" width="8.6640625" bestFit="1" customWidth="1"/>
  </cols>
  <sheetData>
    <row r="1" spans="1:6" x14ac:dyDescent="0.3">
      <c r="A1" s="5" t="s">
        <v>0</v>
      </c>
      <c r="B1" s="6" t="s">
        <v>1</v>
      </c>
      <c r="C1" s="6" t="s">
        <v>2</v>
      </c>
      <c r="D1" s="6" t="s">
        <v>3</v>
      </c>
      <c r="E1" s="6" t="s">
        <v>4</v>
      </c>
      <c r="F1" s="7" t="s">
        <v>5</v>
      </c>
    </row>
    <row r="2" spans="1:6" x14ac:dyDescent="0.3">
      <c r="A2" s="3" t="s">
        <v>26</v>
      </c>
      <c r="B2" s="2">
        <v>45236</v>
      </c>
      <c r="C2" s="1" t="s">
        <v>7</v>
      </c>
      <c r="D2" s="1" t="s">
        <v>8</v>
      </c>
      <c r="E2" s="1">
        <v>3200</v>
      </c>
      <c r="F2" s="4" t="s">
        <v>16</v>
      </c>
    </row>
    <row r="3" spans="1:6" x14ac:dyDescent="0.3">
      <c r="A3" s="3" t="s">
        <v>34</v>
      </c>
      <c r="B3" s="2">
        <v>45240</v>
      </c>
      <c r="C3" s="1" t="s">
        <v>7</v>
      </c>
      <c r="D3" s="1" t="s">
        <v>8</v>
      </c>
      <c r="E3" s="1">
        <v>2800</v>
      </c>
      <c r="F3" s="4" t="s">
        <v>18</v>
      </c>
    </row>
    <row r="4" spans="1:6" x14ac:dyDescent="0.3">
      <c r="A4" s="3" t="s">
        <v>17</v>
      </c>
      <c r="B4" s="2">
        <v>45232</v>
      </c>
      <c r="C4" s="1" t="s">
        <v>7</v>
      </c>
      <c r="D4" s="1" t="s">
        <v>8</v>
      </c>
      <c r="E4" s="1">
        <v>2500</v>
      </c>
      <c r="F4" s="4" t="s">
        <v>18</v>
      </c>
    </row>
    <row r="5" spans="1:6" x14ac:dyDescent="0.3">
      <c r="A5" s="3" t="s">
        <v>40</v>
      </c>
      <c r="B5" s="2">
        <v>45243</v>
      </c>
      <c r="C5" s="1" t="s">
        <v>7</v>
      </c>
      <c r="D5" s="1" t="s">
        <v>12</v>
      </c>
      <c r="E5" s="1">
        <v>2200</v>
      </c>
      <c r="F5" s="4" t="s">
        <v>9</v>
      </c>
    </row>
    <row r="6" spans="1:6" x14ac:dyDescent="0.3">
      <c r="A6" s="3" t="s">
        <v>30</v>
      </c>
      <c r="B6" s="2">
        <v>45238</v>
      </c>
      <c r="C6" s="1" t="s">
        <v>7</v>
      </c>
      <c r="D6" s="1" t="s">
        <v>12</v>
      </c>
      <c r="E6" s="1">
        <v>2100</v>
      </c>
      <c r="F6" s="4" t="s">
        <v>18</v>
      </c>
    </row>
    <row r="7" spans="1:6" x14ac:dyDescent="0.3">
      <c r="A7" s="3" t="s">
        <v>33</v>
      </c>
      <c r="B7" s="2">
        <v>45239</v>
      </c>
      <c r="C7" s="1" t="s">
        <v>7</v>
      </c>
      <c r="D7" s="1" t="s">
        <v>20</v>
      </c>
      <c r="E7" s="1">
        <v>1950</v>
      </c>
      <c r="F7" s="4" t="s">
        <v>9</v>
      </c>
    </row>
    <row r="8" spans="1:6" x14ac:dyDescent="0.3">
      <c r="A8" s="3" t="s">
        <v>21</v>
      </c>
      <c r="B8" s="2">
        <v>45233</v>
      </c>
      <c r="C8" s="1" t="s">
        <v>7</v>
      </c>
      <c r="D8" s="1" t="s">
        <v>12</v>
      </c>
      <c r="E8" s="1">
        <v>1800.75</v>
      </c>
      <c r="F8" s="4" t="s">
        <v>16</v>
      </c>
    </row>
    <row r="9" spans="1:6" x14ac:dyDescent="0.3">
      <c r="A9" s="3" t="s">
        <v>38</v>
      </c>
      <c r="B9" s="2">
        <v>45242</v>
      </c>
      <c r="C9" s="1" t="s">
        <v>7</v>
      </c>
      <c r="D9" s="1" t="s">
        <v>15</v>
      </c>
      <c r="E9" s="1">
        <v>1750</v>
      </c>
      <c r="F9" s="4" t="s">
        <v>16</v>
      </c>
    </row>
    <row r="10" spans="1:6" x14ac:dyDescent="0.3">
      <c r="A10" s="3" t="s">
        <v>36</v>
      </c>
      <c r="B10" s="2">
        <v>45241</v>
      </c>
      <c r="C10" s="1" t="s">
        <v>7</v>
      </c>
      <c r="D10" s="1" t="s">
        <v>8</v>
      </c>
      <c r="E10" s="1">
        <v>1500</v>
      </c>
      <c r="F10" s="4" t="s">
        <v>9</v>
      </c>
    </row>
    <row r="11" spans="1:6" x14ac:dyDescent="0.3">
      <c r="A11" s="3" t="s">
        <v>6</v>
      </c>
      <c r="B11" s="2">
        <v>45231</v>
      </c>
      <c r="C11" s="1" t="s">
        <v>7</v>
      </c>
      <c r="D11" s="1" t="s">
        <v>8</v>
      </c>
      <c r="E11" s="1">
        <v>1200.5</v>
      </c>
      <c r="F11" s="4" t="s">
        <v>9</v>
      </c>
    </row>
    <row r="12" spans="1:6" x14ac:dyDescent="0.3">
      <c r="A12" s="3" t="s">
        <v>28</v>
      </c>
      <c r="B12" s="2">
        <v>45237</v>
      </c>
      <c r="C12" s="1" t="s">
        <v>7</v>
      </c>
      <c r="D12" s="1" t="s">
        <v>15</v>
      </c>
      <c r="E12" s="1">
        <v>1100</v>
      </c>
      <c r="F12" s="4" t="s">
        <v>9</v>
      </c>
    </row>
    <row r="13" spans="1:6" x14ac:dyDescent="0.3">
      <c r="A13" s="3" t="s">
        <v>23</v>
      </c>
      <c r="B13" s="2">
        <v>45234</v>
      </c>
      <c r="C13" s="1" t="s">
        <v>7</v>
      </c>
      <c r="D13" s="1" t="s">
        <v>15</v>
      </c>
      <c r="E13" s="1">
        <v>950</v>
      </c>
      <c r="F13" s="4" t="s">
        <v>18</v>
      </c>
    </row>
    <row r="14" spans="1:6" x14ac:dyDescent="0.3">
      <c r="A14" s="3" t="s">
        <v>31</v>
      </c>
      <c r="B14" s="2">
        <v>45238</v>
      </c>
      <c r="C14" s="1" t="s">
        <v>14</v>
      </c>
      <c r="D14" s="1" t="s">
        <v>8</v>
      </c>
      <c r="E14" s="1">
        <v>700</v>
      </c>
      <c r="F14" s="4" t="s">
        <v>9</v>
      </c>
    </row>
    <row r="15" spans="1:6" x14ac:dyDescent="0.3">
      <c r="A15" s="3" t="s">
        <v>22</v>
      </c>
      <c r="B15" s="2">
        <v>45234</v>
      </c>
      <c r="C15" s="1" t="s">
        <v>14</v>
      </c>
      <c r="D15" s="1" t="s">
        <v>8</v>
      </c>
      <c r="E15" s="1">
        <v>600</v>
      </c>
      <c r="F15" s="4" t="s">
        <v>9</v>
      </c>
    </row>
    <row r="16" spans="1:6" x14ac:dyDescent="0.3">
      <c r="A16" s="3" t="s">
        <v>27</v>
      </c>
      <c r="B16" s="2">
        <v>45236</v>
      </c>
      <c r="C16" s="1" t="s">
        <v>14</v>
      </c>
      <c r="D16" s="1" t="s">
        <v>20</v>
      </c>
      <c r="E16" s="1">
        <v>550</v>
      </c>
      <c r="F16" s="4" t="s">
        <v>18</v>
      </c>
    </row>
    <row r="17" spans="1:6" x14ac:dyDescent="0.3">
      <c r="A17" s="3" t="s">
        <v>39</v>
      </c>
      <c r="B17" s="2">
        <v>45242</v>
      </c>
      <c r="C17" s="1" t="s">
        <v>14</v>
      </c>
      <c r="D17" s="1" t="s">
        <v>8</v>
      </c>
      <c r="E17" s="1">
        <v>520</v>
      </c>
      <c r="F17" s="4" t="s">
        <v>9</v>
      </c>
    </row>
    <row r="18" spans="1:6" x14ac:dyDescent="0.3">
      <c r="A18" s="3" t="s">
        <v>13</v>
      </c>
      <c r="B18" s="2">
        <v>45232</v>
      </c>
      <c r="C18" s="1" t="s">
        <v>14</v>
      </c>
      <c r="D18" s="1" t="s">
        <v>15</v>
      </c>
      <c r="E18" s="1">
        <v>500</v>
      </c>
      <c r="F18" s="4" t="s">
        <v>16</v>
      </c>
    </row>
    <row r="19" spans="1:6" x14ac:dyDescent="0.3">
      <c r="A19" s="3" t="s">
        <v>24</v>
      </c>
      <c r="B19" s="2">
        <v>45235</v>
      </c>
      <c r="C19" s="1" t="s">
        <v>14</v>
      </c>
      <c r="D19" s="1" t="s">
        <v>8</v>
      </c>
      <c r="E19" s="1">
        <v>450</v>
      </c>
      <c r="F19" s="4" t="s">
        <v>16</v>
      </c>
    </row>
    <row r="20" spans="1:6" x14ac:dyDescent="0.3">
      <c r="A20" s="3" t="s">
        <v>35</v>
      </c>
      <c r="B20" s="2">
        <v>45240</v>
      </c>
      <c r="C20" s="1" t="s">
        <v>14</v>
      </c>
      <c r="D20" s="1" t="s">
        <v>12</v>
      </c>
      <c r="E20" s="1">
        <v>400</v>
      </c>
      <c r="F20" s="4" t="s">
        <v>16</v>
      </c>
    </row>
    <row r="21" spans="1:6" x14ac:dyDescent="0.3">
      <c r="A21" s="3" t="s">
        <v>10</v>
      </c>
      <c r="B21" s="2">
        <v>45231</v>
      </c>
      <c r="C21" s="1" t="s">
        <v>11</v>
      </c>
      <c r="D21" s="1" t="s">
        <v>12</v>
      </c>
      <c r="E21" s="1">
        <v>150</v>
      </c>
      <c r="F21" s="4" t="s">
        <v>9</v>
      </c>
    </row>
    <row r="22" spans="1:6" x14ac:dyDescent="0.3">
      <c r="A22" s="3" t="s">
        <v>32</v>
      </c>
      <c r="B22" s="2">
        <v>45239</v>
      </c>
      <c r="C22" s="1" t="s">
        <v>11</v>
      </c>
      <c r="D22" s="1" t="s">
        <v>15</v>
      </c>
      <c r="E22" s="1">
        <v>130</v>
      </c>
      <c r="F22" s="4" t="s">
        <v>16</v>
      </c>
    </row>
    <row r="23" spans="1:6" x14ac:dyDescent="0.3">
      <c r="A23" s="3" t="s">
        <v>19</v>
      </c>
      <c r="B23" s="2">
        <v>45233</v>
      </c>
      <c r="C23" s="1" t="s">
        <v>11</v>
      </c>
      <c r="D23" s="1" t="s">
        <v>20</v>
      </c>
      <c r="E23" s="1">
        <v>120</v>
      </c>
      <c r="F23" s="4" t="s">
        <v>9</v>
      </c>
    </row>
    <row r="24" spans="1:6" x14ac:dyDescent="0.3">
      <c r="A24" s="3" t="s">
        <v>37</v>
      </c>
      <c r="B24" s="2">
        <v>45241</v>
      </c>
      <c r="C24" s="1" t="s">
        <v>11</v>
      </c>
      <c r="D24" s="1" t="s">
        <v>20</v>
      </c>
      <c r="E24" s="1">
        <v>110</v>
      </c>
      <c r="F24" s="4" t="s">
        <v>18</v>
      </c>
    </row>
    <row r="25" spans="1:6" x14ac:dyDescent="0.3">
      <c r="A25" s="3" t="s">
        <v>25</v>
      </c>
      <c r="B25" s="2">
        <v>45235</v>
      </c>
      <c r="C25" s="1" t="s">
        <v>11</v>
      </c>
      <c r="D25" s="1" t="s">
        <v>12</v>
      </c>
      <c r="E25" s="1">
        <v>90</v>
      </c>
      <c r="F25" s="4" t="s">
        <v>9</v>
      </c>
    </row>
    <row r="26" spans="1:6" x14ac:dyDescent="0.3">
      <c r="A26" s="8" t="s">
        <v>29</v>
      </c>
      <c r="B26" s="9">
        <v>45237</v>
      </c>
      <c r="C26" s="10" t="s">
        <v>11</v>
      </c>
      <c r="D26" s="10" t="s">
        <v>8</v>
      </c>
      <c r="E26" s="10">
        <v>85</v>
      </c>
      <c r="F26" s="11" t="s">
        <v>9</v>
      </c>
    </row>
    <row r="27" spans="1:6" x14ac:dyDescent="0.3">
      <c r="A27" s="8" t="s">
        <v>41</v>
      </c>
      <c r="B27" s="10">
        <f>SUBTOTAL(103,Table1[Date])</f>
        <v>25</v>
      </c>
      <c r="C27" s="10">
        <f>SUBTOTAL(103,Table1[Priority])</f>
        <v>25</v>
      </c>
      <c r="D27" s="10">
        <f>SUBTOTAL(103,Table1[Region])</f>
        <v>25</v>
      </c>
      <c r="E27" s="10">
        <f>SUBTOTAL(109,Table1[Cost])</f>
        <v>27456.25</v>
      </c>
      <c r="F27" s="11">
        <f>SUBTOTAL(103,Table1[Status])</f>
        <v>25</v>
      </c>
    </row>
  </sheetData>
  <sortState xmlns:xlrd2="http://schemas.microsoft.com/office/spreadsheetml/2017/richdata2" ref="A2:F26">
    <sortCondition descending="1" ref="E3:E26"/>
  </sortState>
  <conditionalFormatting sqref="F2">
    <cfRule type="containsText" dxfId="7" priority="3" operator="containsText" text="Returned">
      <formula>NOT(ISERROR(SEARCH("Returned",F2)))</formula>
    </cfRule>
  </conditionalFormatting>
  <conditionalFormatting sqref="F2:F26">
    <cfRule type="containsText" dxfId="6" priority="2" operator="containsText" text="Returned">
      <formula>NOT(ISERROR(SEARCH("Returned",F2)))</formula>
    </cfRule>
  </conditionalFormatting>
  <conditionalFormatting sqref="E2:E26">
    <cfRule type="dataBar" priority="1">
      <dataBar>
        <cfvo type="min"/>
        <cfvo type="max"/>
        <color rgb="FF638EC6"/>
      </dataBar>
      <extLst>
        <ext xmlns:x14="http://schemas.microsoft.com/office/spreadsheetml/2009/9/main" uri="{B025F937-C7B1-47D3-B67F-A62EFF666E3E}">
          <x14:id>{526C5CC3-5AD2-4631-8AEB-4978BCF678CA}</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26C5CC3-5AD2-4631-8AEB-4978BCF678CA}">
            <x14:dataBar minLength="0" maxLength="100" gradient="0">
              <x14:cfvo type="autoMin"/>
              <x14:cfvo type="autoMax"/>
              <x14:negativeFillColor rgb="FFFF0000"/>
              <x14:axisColor rgb="FF000000"/>
            </x14:dataBar>
          </x14:cfRule>
          <xm:sqref>E2:E26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Harshali Bhopale</cp:lastModifiedBy>
  <dcterms:created xsi:type="dcterms:W3CDTF">2025-12-02T05:26:40Z</dcterms:created>
  <dcterms:modified xsi:type="dcterms:W3CDTF">2026-02-10T18:40:55Z</dcterms:modified>
</cp:coreProperties>
</file>