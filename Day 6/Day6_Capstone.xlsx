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Anudeep\Excel\Day 6\"/>
    </mc:Choice>
  </mc:AlternateContent>
  <xr:revisionPtr revIDLastSave="0" documentId="13_ncr:1_{C64AA300-AD00-44B3-9BED-16832B7E56D9}" xr6:coauthVersionLast="47" xr6:coauthVersionMax="47" xr10:uidLastSave="{00000000-0000-0000-0000-000000000000}"/>
  <bookViews>
    <workbookView xWindow="-108" yWindow="-108" windowWidth="23256" windowHeight="12456" activeTab="1" xr2:uid="{9DA7F200-1B3A-4BEC-AEDF-A0C3802D85C4}"/>
  </bookViews>
  <sheets>
    <sheet name="Sheet1" sheetId="1" r:id="rId1"/>
    <sheet name="Pivot" sheetId="2" r:id="rId2"/>
  </sheets>
  <definedNames>
    <definedName name="NativeTimeline_OrderDate">#N/A</definedName>
    <definedName name="Slicer_SalesChannel">#N/A</definedName>
  </definedNames>
  <calcPr calcId="179021"/>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<sst xmlns="http://schemas.openxmlformats.org/spreadsheetml/2006/main" count="201" uniqueCount="55">
  <si>
    <t>OrderDate</t>
  </si>
  <si>
    <t>Region</t>
  </si>
  <si>
    <t>Country</t>
  </si>
  <si>
    <t>ProductCategory</t>
  </si>
  <si>
    <t>SubProduct</t>
  </si>
  <si>
    <t>SalesChannel</t>
  </si>
  <si>
    <t>Revenue</t>
  </si>
  <si>
    <t>Cost</t>
  </si>
  <si>
    <t>Profit</t>
  </si>
  <si>
    <t>North America</t>
  </si>
  <si>
    <t>USA</t>
  </si>
  <si>
    <t>Electronics</t>
  </si>
  <si>
    <t>Smartphone</t>
  </si>
  <si>
    <t>Online</t>
  </si>
  <si>
    <t>Europe</t>
  </si>
  <si>
    <t>UK</t>
  </si>
  <si>
    <t>Home</t>
  </si>
  <si>
    <t>Office Chair</t>
  </si>
  <si>
    <t>Offline</t>
  </si>
  <si>
    <t>Asia</t>
  </si>
  <si>
    <t>Japan</t>
  </si>
  <si>
    <t>Laptop</t>
  </si>
  <si>
    <t>Clothing</t>
  </si>
  <si>
    <t>T-Shirt</t>
  </si>
  <si>
    <t>Germany</t>
  </si>
  <si>
    <t>Tablet</t>
  </si>
  <si>
    <t>Canada</t>
  </si>
  <si>
    <t>Desk Lamp</t>
  </si>
  <si>
    <t>South Korea</t>
  </si>
  <si>
    <t>France</t>
  </si>
  <si>
    <t>Jeans</t>
  </si>
  <si>
    <t>Sofa</t>
  </si>
  <si>
    <t>Headphones</t>
  </si>
  <si>
    <t>Jacket</t>
  </si>
  <si>
    <t>China</t>
  </si>
  <si>
    <t>Sum of Margin %</t>
  </si>
  <si>
    <t>Row Labels</t>
  </si>
  <si>
    <t>Grand Total</t>
  </si>
  <si>
    <t>Sum of Revenue</t>
  </si>
  <si>
    <t>Sum of Profit</t>
  </si>
  <si>
    <t>Jan</t>
  </si>
  <si>
    <t>Feb</t>
  </si>
  <si>
    <t>Mar</t>
  </si>
  <si>
    <t>Apr</t>
  </si>
  <si>
    <t>May</t>
  </si>
  <si>
    <t>Jun</t>
  </si>
  <si>
    <t>Jul</t>
  </si>
  <si>
    <t>Aug</t>
  </si>
  <si>
    <t>Sep</t>
  </si>
  <si>
    <t>Oct</t>
  </si>
  <si>
    <t>Nov</t>
  </si>
  <si>
    <t>Dec</t>
  </si>
  <si>
    <t>Revenue by Country</t>
  </si>
  <si>
    <t>Monthly Profit Trend</t>
  </si>
  <si>
    <t>Top 5 Products by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</si>
</sst>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FF0000"/>
      <name val="Calibri"/>
      <family val="2"/>
      <scheme val="minor"/>
    </font>
    <font>
      <b/>
      <sz val="11"/>
      <color rgb="FF000000"/>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1" xfId="0" applyBorder="1" applyAlignment="1">
      <alignment horizontal="center"/>
    </xf>
    <xf numFmtId="14" fontId="0" fillId="0" borderId="1" xfId="0" applyNumberFormat="1" applyBorder="1" applyAlignment="1">
      <alignment horizontal="center"/>
    </xf>
    <xf numFmtId="0" fontId="1" fillId="2" borderId="1" xfId="0" applyFont="1" applyFill="1" applyBorder="1" applyAlignment="1">
      <alignment horizontal="center"/>
    </xf>
    <xf numFmtId="9"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2" fillId="3" borderId="0" xfId="0" applyFont="1" applyFill="1"/>
    <xf numFmtId="0" fontId="2" fillId="4" borderId="0" xfId="0" applyFont="1" applyFill="1"/>
    <xf numFmtId="0" fontId="0" fillId="4" borderId="0" xfId="0" applyFill="1"/>
    <xf numFmtId="0" fontId="3" fillId="0" borderId="0" xfId="0" applyFont="1" applyAlignment="1">
      <alignment horizontal="center"/>
    </xf>
  </cellXfs>
  <cellStyles count="1">
    <cellStyle name="Normal" xfId="0" builtinId="0"/>
  </cellStyles>
  <dxfs count="33">
    <dxf>
      <numFmt numFmtId="1" formatCode="0"/>
    </dxf>
    <dxf>
      <numFmt numFmtId="13" formatCode="0%"/>
    </dxf>
    <dxf>
      <numFmt numFmtId="1" formatCode="0"/>
    </dxf>
    <dxf>
      <numFmt numFmtId="1" formatCode="0"/>
    </dxf>
    <dxf>
      <numFmt numFmtId="1" formatCode="0"/>
    </dxf>
    <dxf>
      <numFmt numFmtId="13" formatCode="0%"/>
    </dxf>
    <dxf>
      <numFmt numFmtId="1" formatCode="0"/>
    </dxf>
    <dxf>
      <numFmt numFmtId="1" formatCode="0"/>
    </dxf>
    <dxf>
      <numFmt numFmtId="13" formatCode="0%"/>
    </dxf>
    <dxf>
      <numFmt numFmtId="1" formatCode="0"/>
    </dxf>
    <dxf>
      <numFmt numFmtId="13" formatCode="0%"/>
    </dxf>
    <dxf>
      <numFmt numFmtId="1" formatCode="0"/>
    </dxf>
    <dxf>
      <numFmt numFmtId="1" formatCode="0"/>
    </dxf>
    <dxf>
      <numFmt numFmtId="13"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3" formatCode="0%"/>
    </dxf>
    <dxf>
      <numFmt numFmtId="1" formatCode="0"/>
    </dxf>
    <dxf>
      <numFmt numFmtId="1" formatCode="0"/>
    </dxf>
    <dxf>
      <numFmt numFmtId="13" formatCode="0%"/>
    </dxf>
    <dxf>
      <numFmt numFmtId="13" formatCode="0%"/>
    </dxf>
    <dxf>
      <numFmt numFmtId="1" formatCode="0"/>
    </dxf>
    <dxf>
      <numFmt numFmtId="1" formatCode="0"/>
    </dxf>
    <dxf>
      <numFmt numFmtId="13" formatCode="0%"/>
    </dxf>
    <dxf>
      <numFmt numFmtId="13" formatCode="0%"/>
    </dxf>
    <dxf>
      <numFmt numFmtId="1" formatCode="0"/>
    </dxf>
    <dxf>
      <numFmt numFmtId="1"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11/relationships/timelineCache" Target="timelineCaches/timelineCach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[Day6_Capstone.xlsx]Pivot!PivotTable3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Revenue by Country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Pivot!$A$22:$A$30</c:f>
              <c:strCache>
                <c:ptCount val="8"/>
                <c:pt idx="0">
                  <c:v>Canada</c:v>
                </c:pt>
                <c:pt idx="1">
                  <c:v>China</c:v>
                </c:pt>
                <c:pt idx="2">
                  <c:v>France</c:v>
                </c:pt>
                <c:pt idx="3">
                  <c:v>Germany</c:v>
                </c:pt>
                <c:pt idx="4">
                  <c:v>Japan</c:v>
                </c:pt>
                <c:pt idx="5">
                  <c:v>South Korea</c:v>
                </c:pt>
                <c:pt idx="6">
                  <c:v>UK</c:v>
                </c:pt>
                <c:pt idx="7">
                  <c:v>USA</c:v>
                </c:pt>
              </c:strCache>
            </c:strRef>
          </c:cat>
          <c:val>
            <c:numRef>
              <c:f>Pivot!$B$22:$B$30</c:f>
              <c:numCache>
                <c:formatCode>0</c:formatCode>
                <c:ptCount val="8"/>
                <c:pt idx="0">
                  <c:v>670</c:v>
                </c:pt>
                <c:pt idx="1">
                  <c:v>1320</c:v>
                </c:pt>
                <c:pt idx="2">
                  <c:v>1030</c:v>
                </c:pt>
                <c:pt idx="3">
                  <c:v>1100</c:v>
                </c:pt>
                <c:pt idx="4">
                  <c:v>4070</c:v>
                </c:pt>
                <c:pt idx="5">
                  <c:v>3850</c:v>
                </c:pt>
                <c:pt idx="6">
                  <c:v>625</c:v>
                </c:pt>
                <c:pt idx="7">
                  <c:v>12745</c:v>
                </c:pt>
              </c:numCache>
            </c:numRef>
          </c:val>
          <c:extLst>
            <c:ext xmlns:c16="http://schemas.microsoft.com/office/drawing/2014/chart" uri="{C3380CC4-5D6E-409C-BE32-E72D297353CC}">
              <c16:uniqueId val="{00000000-7ECA-444D-942D-635B1CD3ACAC}"/>
            </c:ext>
          </c:extLst>
        </c:ser>
        <c:dLbls>
          <c:dLblPos val="inEnd"/>
          <c:showLegendKey val="0"/>
          <c:showVal val="1"/>
          <c:showCatName val="0"/>
          <c:showSerName val="0"/>
          <c:showPercent val="0"/>
          <c:showBubbleSize val="0"/>
        </c:dLbls>
        <c:gapWidth val="65"/>
        <c:axId val="207440784"/>
        <c:axId val="207443184"/>
      </c:barChart>
      <c:catAx>
        <c:axId val="2074407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7443184"/>
        <c:crosses val="autoZero"/>
        <c:auto val="1"/>
        <c:lblAlgn val="ctr"/>
        <c:lblOffset val="100"/>
        <c:noMultiLvlLbl val="0"/>
      </c:catAx>
      <c:valAx>
        <c:axId val="20744318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744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[Day6_Capstone.xlsx]Pivot!PivotTable4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Monthly Profit Trend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Pivot!$B$39</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Pivot!$A$40:$A$52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Pivot!$B$40:$B$52</c:f>
              <c:numCache>
                <c:formatCode>0</c:formatCode>
                <c:ptCount val="12"/>
                <c:pt idx="0">
                  <c:v>600</c:v>
                </c:pt>
                <c:pt idx="1">
                  <c:v>520</c:v>
                </c:pt>
                <c:pt idx="2">
                  <c:v>230</c:v>
                </c:pt>
                <c:pt idx="3">
                  <c:v>400</c:v>
                </c:pt>
                <c:pt idx="4">
                  <c:v>1000</c:v>
                </c:pt>
                <c:pt idx="5">
                  <c:v>160</c:v>
                </c:pt>
                <c:pt idx="6">
                  <c:v>590</c:v>
                </c:pt>
                <c:pt idx="7">
                  <c:v>517</c:v>
                </c:pt>
                <c:pt idx="8">
                  <c:v>205</c:v>
                </c:pt>
                <c:pt idx="9">
                  <c:v>430</c:v>
                </c:pt>
                <c:pt idx="10">
                  <c:v>280</c:v>
                </c:pt>
                <c:pt idx="11">
                  <c:v>320</c:v>
                </c:pt>
              </c:numCache>
            </c:numRef>
          </c:val>
          <c:smooth val="0"/>
          <c:extLst>
            <c:ext xmlns:c16="http://schemas.microsoft.com/office/drawing/2014/chart" uri="{C3380CC4-5D6E-409C-BE32-E72D297353CC}">
              <c16:uniqueId val="{00000000-697E-49D9-B2E6-6F82D79839D2}"/>
            </c:ext>
          </c:extLst>
        </c:ser>
        <c:dLbls>
          <c:dLblPos val="ctr"/>
          <c:showLegendKey val="0"/>
          <c:showVal val="1"/>
          <c:showCatName val="0"/>
          <c:showSerName val="0"/>
          <c:showPercent val="0"/>
          <c:showBubbleSize val="0"/>
        </c:dLbls>
        <c:marker val="1"/>
        <c:smooth val="0"/>
        <c:axId val="202462688"/>
        <c:axId val="202456928"/>
      </c:lineChart>
      <c:catAx>
        <c:axId val="2024626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2456928"/>
        <c:crosses val="autoZero"/>
        <c:auto val="1"/>
        <c:lblAlgn val="ctr"/>
        <c:lblOffset val="100"/>
        <c:noMultiLvlLbl val="0"/>
      </c:catAx>
      <c:valAx>
        <c:axId val="202456928"/>
        <c:scaling>
          <c:orientation val="minMax"/>
        </c:scaling>
        <c:delete val="1"/>
        <c:axPos val="l"/>
        <c:numFmt formatCode="0" sourceLinked="1"/>
        <c:majorTickMark val="none"/>
        <c:minorTickMark val="none"/>
        <c:tickLblPos val="nextTo"/>
        <c:crossAx val="20246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[Day6_Capstone.xlsx]Pivot!PivotTable1</c:name>
    <c:fmtId val="2"/>
  </c:pivotSource>
  <c:chart>
    <c:title>
      <c:tx>
        <c:rich>
          <a:bodyPr rot="0" spcFirstLastPara="1" vertOverflow="ellipsis" vert="horz" wrap="square" anchor="ctr" anchorCtr="1"/>
          <a:lstStyle/>
          <a:p>
            <a:pPr>
              <a:defRPr lang="en-US" sz="1080" b="0" i="0" u="none" strike="noStrike" kern="1200" cap="all" baseline="0">
                <a:solidFill>
                  <a:schemeClr val="dk1"/>
                </a:solidFill>
                <a:latin typeface="+mn-lt"/>
                <a:ea typeface="+mn-ea"/>
                <a:cs typeface="+mn-cs"/>
              </a:defRPr>
            </a:pPr>
            <a:r>
              <a:rPr lang="en-IN"/>
              <a:t>Top 5 Products by Margin % </a:t>
            </a:r>
            <a:endParaRPr lang="en-US"/>
          </a:p>
        </c:rich>
      </c:tx>
      <c:overlay val="0"/>
      <c:spPr>
        <a:noFill/>
        <a:ln>
          <a:noFill/>
        </a:ln>
        <a:effectLst/>
      </c:spPr>
      <c:txPr>
        <a:bodyPr rot="0" spcFirstLastPara="1" vertOverflow="ellipsis" vert="horz" wrap="square" anchor="ctr" anchorCtr="1"/>
        <a:lstStyle/>
        <a:p>
          <a:pPr>
            <a:defRPr lang="en-US" sz="1080" b="0" i="0" u="none" strike="noStrike" kern="1200" cap="all"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lang="en-US" sz="900" b="0"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lang="en-US" sz="900" b="0"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lang="en-US" sz="900" b="0"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lang="en-US" sz="900" b="0"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lang="en-US" sz="900" b="0"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lang="en-US" sz="900" b="0"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lang="en-US" sz="900" b="0"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lang="en-US" sz="900" b="0"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lang="en-US" sz="900" b="0"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lang="en-US" sz="900" b="0"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1E39-4EF0-9F6E-B202365D882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E39-4EF0-9F6E-B202365D882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1E39-4EF0-9F6E-B202365D8826}"/>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E39-4EF0-9F6E-B202365D8826}"/>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1E39-4EF0-9F6E-B202365D8826}"/>
              </c:ext>
            </c:extLst>
          </c:dPt>
          <c:dLbls>
            <c:dLbl>
              <c:idx val="0"/>
              <c:spPr>
                <a:noFill/>
                <a:ln>
                  <a:noFill/>
                </a:ln>
                <a:effectLst/>
              </c:spPr>
              <c:txPr>
                <a:bodyPr rot="0" spcFirstLastPara="1" vertOverflow="ellipsis" vert="horz" wrap="square" anchor="ctr" anchorCtr="1"/>
                <a:lstStyle/>
                <a:p>
                  <a:pPr>
                    <a:defRPr lang="en-US" sz="900" b="0"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2-1E39-4EF0-9F6E-B202365D8826}"/>
                </c:ext>
              </c:extLst>
            </c:dLbl>
            <c:dLbl>
              <c:idx val="1"/>
              <c:spPr>
                <a:noFill/>
                <a:ln>
                  <a:noFill/>
                </a:ln>
                <a:effectLst/>
              </c:spPr>
              <c:txPr>
                <a:bodyPr rot="0" spcFirstLastPara="1" vertOverflow="ellipsis" vert="horz" wrap="square" anchor="ctr" anchorCtr="1"/>
                <a:lstStyle/>
                <a:p>
                  <a:pPr>
                    <a:defRPr lang="en-US" sz="900" b="0"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1E39-4EF0-9F6E-B202365D8826}"/>
                </c:ext>
              </c:extLst>
            </c:dLbl>
            <c:dLbl>
              <c:idx val="2"/>
              <c:spPr>
                <a:noFill/>
                <a:ln>
                  <a:noFill/>
                </a:ln>
                <a:effectLst/>
              </c:spPr>
              <c:txPr>
                <a:bodyPr rot="0" spcFirstLastPara="1" vertOverflow="ellipsis" vert="horz" wrap="square" anchor="ctr" anchorCtr="1"/>
                <a:lstStyle/>
                <a:p>
                  <a:pPr>
                    <a:defRPr lang="en-US" sz="900" b="0"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4-1E39-4EF0-9F6E-B202365D8826}"/>
                </c:ext>
              </c:extLst>
            </c:dLbl>
            <c:dLbl>
              <c:idx val="3"/>
              <c:spPr>
                <a:noFill/>
                <a:ln>
                  <a:noFill/>
                </a:ln>
                <a:effectLst/>
              </c:spPr>
              <c:txPr>
                <a:bodyPr rot="0" spcFirstLastPara="1" vertOverflow="ellipsis" vert="horz" wrap="square" anchor="ctr" anchorCtr="1"/>
                <a:lstStyle/>
                <a:p>
                  <a:pPr>
                    <a:defRPr lang="en-US" sz="900" b="0"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1E39-4EF0-9F6E-B202365D8826}"/>
                </c:ext>
              </c:extLst>
            </c:dLbl>
            <c:dLbl>
              <c:idx val="4"/>
              <c:spPr>
                <a:noFill/>
                <a:ln>
                  <a:noFill/>
                </a:ln>
                <a:effectLst/>
              </c:spPr>
              <c:txPr>
                <a:bodyPr rot="0" spcFirstLastPara="1" vertOverflow="ellipsis" vert="horz" wrap="square" anchor="ctr" anchorCtr="1"/>
                <a:lstStyle/>
                <a:p>
                  <a:pPr>
                    <a:defRPr lang="en-US" sz="900" b="0"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6-1E39-4EF0-9F6E-B202365D8826}"/>
                </c:ext>
              </c:extLst>
            </c:dLbl>
            <c:spPr>
              <a:noFill/>
              <a:ln>
                <a:noFill/>
              </a:ln>
              <a:effectLst/>
            </c:spPr>
            <c:txPr>
              <a:bodyPr rot="0" spcFirstLastPara="1" vertOverflow="ellipsis" vert="horz" wrap="square" anchor="ctr" anchorCtr="1"/>
              <a:lstStyle/>
              <a:p>
                <a:pPr>
                  <a:defRPr lang="en-US" sz="900" b="0"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Pivot!$A$4:$A$9</c:f>
              <c:strCache>
                <c:ptCount val="5"/>
                <c:pt idx="0">
                  <c:v>Desk Lamp</c:v>
                </c:pt>
                <c:pt idx="1">
                  <c:v>Jacket</c:v>
                </c:pt>
                <c:pt idx="2">
                  <c:v>Jeans</c:v>
                </c:pt>
                <c:pt idx="3">
                  <c:v>Office Chair</c:v>
                </c:pt>
                <c:pt idx="4">
                  <c:v>T-Shirt</c:v>
                </c:pt>
              </c:strCache>
            </c:strRef>
          </c:cat>
          <c:val>
            <c:numRef>
              <c:f>Pivot!$B$4:$B$9</c:f>
              <c:numCache>
                <c:formatCode>0%</c:formatCode>
                <c:ptCount val="5"/>
                <c:pt idx="0">
                  <c:v>0.44444444444444442</c:v>
                </c:pt>
                <c:pt idx="1">
                  <c:v>0.375</c:v>
                </c:pt>
                <c:pt idx="2">
                  <c:v>0.5</c:v>
                </c:pt>
                <c:pt idx="3">
                  <c:v>0.41904761904761906</c:v>
                </c:pt>
                <c:pt idx="4">
                  <c:v>0.56000000000000005</c:v>
                </c:pt>
              </c:numCache>
            </c:numRef>
          </c:val>
          <c:extLst>
            <c:ext xmlns:c16="http://schemas.microsoft.com/office/drawing/2014/chart" uri="{C3380CC4-5D6E-409C-BE32-E72D297353CC}">
              <c16:uniqueId val="{00000000-1E39-4EF0-9F6E-B202365D8826}"/>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38100</xdr:colOff>
      <xdr:row>1</xdr:row>
      <xdr:rowOff>107950</xdr:rowOff>
    </xdr:from>
    <xdr:to>
      <xdr:col>20</xdr:col>
      <xdr:colOff>247650</xdr:colOff>
      <xdr:row>18</xdr:row>
      <xdr:rowOff>171450</xdr:rowOff>
    </xdr:to>
    <xdr:sp macro="" textlink="">
      <xdr:nvSpPr>
        <xdr:cNvPr id="2" name="TextBox 1">
          <a:extLst>
            <a:ext uri="{FF2B5EF4-FFF2-40B4-BE49-F238E27FC236}">
              <a16:creationId xmlns:a16="http://schemas.microsoft.com/office/drawing/2014/main" id="{FAE5CA54-D8D3-45D8-8D51-504202CD427A}"/>
            </a:ext>
          </a:extLst>
        </xdr:cNvPr>
        <xdr:cNvSpPr txBox="1"/>
      </xdr:nvSpPr>
      <xdr:spPr>
        <a:xfrm>
          <a:off x="6229350" y="292100"/>
          <a:ext cx="6305550" cy="3194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u="sng"/>
            <a:t>The Scenario</a:t>
          </a:r>
        </a:p>
        <a:p>
          <a:r>
            <a:rPr lang="en-IN" b="1"/>
            <a:t>Title:</a:t>
          </a:r>
          <a:r>
            <a:rPr lang="en-IN"/>
            <a:t> "The Q4 Crisis Meeting."</a:t>
          </a:r>
        </a:p>
        <a:p>
          <a:r>
            <a:rPr lang="en-IN" b="1"/>
            <a:t>Context:</a:t>
          </a:r>
          <a:r>
            <a:rPr lang="en-IN"/>
            <a:t> "Sales are down. The CEO, CFO, and Sales VP are meeting in 45 minutes. They need a dashboard that answers: Where are we losing money? Which product is failing? Is it a seasonal issue?"</a:t>
          </a:r>
        </a:p>
        <a:p>
          <a:r>
            <a:rPr lang="en-IN" b="1" i="0" u="sng"/>
            <a:t>The Dataset (Provide Day6_Capstone_GlobalSales.csv)</a:t>
          </a:r>
        </a:p>
        <a:p>
          <a:r>
            <a:rPr lang="en-IN" b="1"/>
            <a:t>Columns:</a:t>
          </a:r>
          <a:r>
            <a:rPr lang="en-IN"/>
            <a:t> OrderDate, Region, Country, ProductCategory, SubProduct, SalesChannel (Online/Offline), Revenue, Cost, Profit.</a:t>
          </a:r>
        </a:p>
        <a:p>
          <a:r>
            <a:rPr lang="en-IN" b="1" u="sng"/>
            <a:t>The Requirements</a:t>
          </a:r>
        </a:p>
        <a:p>
          <a:r>
            <a:rPr lang="en-IN" b="1"/>
            <a:t>Calculated Field:</a:t>
          </a:r>
          <a:r>
            <a:rPr lang="en-IN"/>
            <a:t> Creating a field for Margin % (Profit / Revenue) inside the pivot (Analyze -&gt; Fields, Items &amp; Sets -&gt; Calculated Field).</a:t>
          </a:r>
        </a:p>
        <a:p>
          <a:r>
            <a:rPr lang="en-IN" b="1"/>
            <a:t>Visual 1 (Map/Bar):</a:t>
          </a:r>
          <a:r>
            <a:rPr lang="en-IN"/>
            <a:t> Revenue by Country.</a:t>
          </a:r>
        </a:p>
        <a:p>
          <a:r>
            <a:rPr lang="en-IN" b="1"/>
            <a:t>Visual 2 (Trend):</a:t>
          </a:r>
          <a:r>
            <a:rPr lang="en-IN"/>
            <a:t> Monthly Profit Trend (Line Chart with Trendline).</a:t>
          </a:r>
        </a:p>
        <a:p>
          <a:r>
            <a:rPr lang="en-IN" b="1"/>
            <a:t>Visual 3 (Detail):</a:t>
          </a:r>
          <a:r>
            <a:rPr lang="en-IN"/>
            <a:t> Top 5 Products by Margin % (Filter -&gt; Top 10 -&gt; Show Top 5).</a:t>
          </a:r>
        </a:p>
        <a:p>
          <a:r>
            <a:rPr lang="en-IN" b="1"/>
            <a:t>Interactivity:</a:t>
          </a:r>
          <a:endParaRPr lang="en-IN"/>
        </a:p>
        <a:p>
          <a:pPr lvl="1"/>
          <a:r>
            <a:rPr lang="en-IN"/>
            <a:t>Add a </a:t>
          </a:r>
          <a:r>
            <a:rPr lang="en-IN" b="1"/>
            <a:t>Timeline</a:t>
          </a:r>
          <a:r>
            <a:rPr lang="en-IN"/>
            <a:t> to filter all charts by Month/Quarter.</a:t>
          </a:r>
        </a:p>
        <a:p>
          <a:pPr lvl="1"/>
          <a:r>
            <a:rPr lang="en-IN"/>
            <a:t>Add a </a:t>
          </a:r>
          <a:r>
            <a:rPr lang="en-IN" b="1"/>
            <a:t>Slicer</a:t>
          </a:r>
          <a:r>
            <a:rPr lang="en-IN"/>
            <a:t> for SalesChannel (Online vs Offline).</a:t>
          </a:r>
        </a:p>
        <a:p>
          <a:r>
            <a:rPr lang="en-IN" b="1"/>
            <a:t>Aesthetics:</a:t>
          </a:r>
          <a:r>
            <a:rPr lang="en-IN"/>
            <a:t> Remove gridlines from the sheet. Make the background light grey. Make charts white. (UI Design).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0</xdr:row>
      <xdr:rowOff>91440</xdr:rowOff>
    </xdr:from>
    <xdr:to>
      <xdr:col>11</xdr:col>
      <xdr:colOff>419100</xdr:colOff>
      <xdr:row>15</xdr:row>
      <xdr:rowOff>22860</xdr:rowOff>
    </xdr:to>
    <xdr:graphicFrame macro="">
      <xdr:nvGraphicFramePr>
        <xdr:cNvPr id="2" name="Chart 1">
          <a:extLst>
            <a:ext uri="{FF2B5EF4-FFF2-40B4-BE49-F238E27FC236}">
              <a16:creationId xmlns:a16="http://schemas.microsoft.com/office/drawing/2014/main" id="{3C4C623D-7105-C340-C6D0-01E2F204EC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91440</xdr:colOff>
      <xdr:row>0</xdr:row>
      <xdr:rowOff>83820</xdr:rowOff>
    </xdr:from>
    <xdr:to>
      <xdr:col>20</xdr:col>
      <xdr:colOff>213360</xdr:colOff>
      <xdr:row>15</xdr:row>
      <xdr:rowOff>22860</xdr:rowOff>
    </xdr:to>
    <xdr:graphicFrame macro="">
      <xdr:nvGraphicFramePr>
        <xdr:cNvPr id="3" name="Chart 2">
          <a:extLst>
            <a:ext uri="{FF2B5EF4-FFF2-40B4-BE49-F238E27FC236}">
              <a16:creationId xmlns:a16="http://schemas.microsoft.com/office/drawing/2014/main" id="{2CCD953B-4EAD-ED6D-ED9E-4FD8B9B46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182880</xdr:colOff>
      <xdr:row>15</xdr:row>
      <xdr:rowOff>102870</xdr:rowOff>
    </xdr:from>
    <xdr:to>
      <xdr:col>11</xdr:col>
      <xdr:colOff>426720</xdr:colOff>
      <xdr:row>29</xdr:row>
      <xdr:rowOff>129540</xdr:rowOff>
    </xdr:to>
    <xdr:graphicFrame macro="">
      <xdr:nvGraphicFramePr>
        <xdr:cNvPr id="5" name="Chart 4">
          <a:extLst>
            <a:ext uri="{FF2B5EF4-FFF2-40B4-BE49-F238E27FC236}">
              <a16:creationId xmlns:a16="http://schemas.microsoft.com/office/drawing/2014/main" id="{FC763DAE-5287-9C6E-6DCE-53A76AA29D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121920</xdr:colOff>
      <xdr:row>15</xdr:row>
      <xdr:rowOff>121920</xdr:rowOff>
    </xdr:from>
    <xdr:to>
      <xdr:col>20</xdr:col>
      <xdr:colOff>228600</xdr:colOff>
      <xdr:row>22</xdr:row>
      <xdr:rowOff>137160</xdr:rowOff>
    </xdr:to>
    <mc:AlternateContent xmlns:mc="http://schemas.openxmlformats.org/markup-compatibility/2006" xmlns:tsle="http://schemas.microsoft.com/office/drawing/2012/timeslicer">
      <mc:Choice Requires="tsle">
        <xdr:graphicFrame macro="">
          <xdr:nvGraphicFramePr>
            <xdr:cNvPr id="6" name="OrderDate">
              <a:extLst>
                <a:ext uri="{FF2B5EF4-FFF2-40B4-BE49-F238E27FC236}">
                  <a16:creationId xmlns:a16="http://schemas.microsoft.com/office/drawing/2014/main" id="{B104C40B-3E70-F269-EB10-B110B244A511}"/>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8134952" y="2889183"/>
              <a:ext cx="4983480" cy="130663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30480</xdr:colOff>
      <xdr:row>23</xdr:row>
      <xdr:rowOff>167641</xdr:rowOff>
    </xdr:from>
    <xdr:to>
      <xdr:col>18</xdr:col>
      <xdr:colOff>99060</xdr:colOff>
      <xdr:row>27</xdr:row>
      <xdr:rowOff>160020</xdr:rowOff>
    </xdr:to>
    <mc:AlternateContent xmlns:mc="http://schemas.openxmlformats.org/markup-compatibility/2006" xmlns:a14="http://schemas.microsoft.com/office/drawing/2010/main">
      <mc:Choice Requires="a14">
        <xdr:graphicFrame macro="">
          <xdr:nvGraphicFramePr>
            <xdr:cNvPr id="7" name="SalesChannel">
              <a:extLst>
                <a:ext uri="{FF2B5EF4-FFF2-40B4-BE49-F238E27FC236}">
                  <a16:creationId xmlns:a16="http://schemas.microsoft.com/office/drawing/2014/main" id="{F76DF2CE-CF68-1F52-B6F8-13C059B70B28}"/>
                </a:ext>
              </a:extLst>
            </xdr:cNvPr>
            <xdr:cNvGraphicFramePr/>
          </xdr:nvGraphicFramePr>
          <xdr:xfrm>
            <a:off x="0" y="0"/>
            <a:ext cx="0" cy="0"/>
          </xdr:xfrm>
          <a:graphic>
            <a:graphicData uri="http://schemas.microsoft.com/office/drawing/2010/slicer">
              <sle:slicer xmlns:sle="http://schemas.microsoft.com/office/drawing/2010/slicer" name="SalesChannel"/>
            </a:graphicData>
          </a:graphic>
        </xdr:graphicFrame>
      </mc:Choice>
      <mc:Fallback xmlns="">
        <xdr:sp macro="" textlink="">
          <xdr:nvSpPr>
            <xdr:cNvPr id="0" name=""/>
            <xdr:cNvSpPr>
              <a:spLocks noTextEdit="1"/>
            </xdr:cNvSpPr>
          </xdr:nvSpPr>
          <xdr:spPr>
            <a:xfrm>
              <a:off x="9262712" y="4410778"/>
              <a:ext cx="2506980" cy="730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li Bhopale" refreshedDate="46064.904228009262" createdVersion="8" refreshedVersion="8" minRefreshableVersion="3" recordCount="31" xr:uid="{21E14B67-0919-47BF-98F9-C4A31265E38A}">
  <cacheSource type="worksheet">
    <worksheetSource ref="A1:I32" sheet="Sheet1"/>
  </cacheSource>
  <cacheFields count="12">
    <cacheField name="OrderDate" numFmtId="14">
      <sharedItems containsSemiMixedTypes="0" containsNonDate="0" containsDate="1" containsString="0" minDate="2023-01-15T00:00:00" maxDate="2023-12-29T00:00:00" count="31">
        <d v="2023-01-15T00:00:00"/>
        <d v="2023-01-20T00:00:00"/>
        <d v="2023-02-10T00:00:00"/>
        <d v="2023-02-25T00:00:00"/>
        <d v="2023-03-05T00:00:00"/>
        <d v="2023-03-15T00:00:00"/>
        <d v="2023-04-10T00:00:00"/>
        <d v="2023-04-22T00:00:00"/>
        <d v="2023-05-05T00:00:00"/>
        <d v="2023-05-18T00:00:00"/>
        <d v="2023-06-12T00:00:00"/>
        <d v="2023-06-30T00:00:00"/>
        <d v="2023-07-05T00:00:00"/>
        <d v="2023-07-20T00:00:00"/>
        <d v="2023-08-15T00:00:00"/>
        <d v="2023-08-25T00:00:00"/>
        <d v="2023-09-01T00:00:00"/>
        <d v="2023-09-10T00:00:00"/>
        <d v="2023-10-05T00:00:00"/>
        <d v="2023-10-15T00:00:00"/>
        <d v="2023-10-25T00:00:00"/>
        <d v="2023-11-01T00:00:00"/>
        <d v="2023-11-10T00:00:00"/>
        <d v="2023-11-20T00:00:00"/>
        <d v="2023-12-01T00:00:00"/>
        <d v="2023-12-05T00:00:00"/>
        <d v="2023-12-10T00:00:00"/>
        <d v="2023-12-15T00:00:00"/>
        <d v="2023-12-20T00:00:00"/>
        <d v="2023-12-24T00:00:00"/>
        <d v="2023-12-28T00:00:00"/>
      </sharedItems>
      <fieldGroup par="11"/>
    </cacheField>
    <cacheField name="Region" numFmtId="0">
      <sharedItems/>
    </cacheField>
    <cacheField name="Country" numFmtId="0">
      <sharedItems count="8">
        <s v="USA"/>
        <s v="UK"/>
        <s v="Japan"/>
        <s v="Germany"/>
        <s v="Canada"/>
        <s v="South Korea"/>
        <s v="France"/>
        <s v="China"/>
      </sharedItems>
    </cacheField>
    <cacheField name="ProductCategory" numFmtId="0">
      <sharedItems/>
    </cacheField>
    <cacheField name="SubProduct" numFmtId="0">
      <sharedItems count="10">
        <s v="Smartphone"/>
        <s v="Office Chair"/>
        <s v="Laptop"/>
        <s v="T-Shirt"/>
        <s v="Tablet"/>
        <s v="Desk Lamp"/>
        <s v="Jeans"/>
        <s v="Sofa"/>
        <s v="Headphones"/>
        <s v="Jacket"/>
      </sharedItems>
    </cacheField>
    <cacheField name="SalesChannel" numFmtId="0">
      <sharedItems count="2">
        <s v="Online"/>
        <s v="Offline"/>
      </sharedItems>
    </cacheField>
    <cacheField name="Revenue" numFmtId="0">
      <sharedItems containsSemiMixedTypes="0" containsString="0" containsNumber="1" containsInteger="1" minValue="25" maxValue="2500"/>
    </cacheField>
    <cacheField name="Cost" numFmtId="0">
      <sharedItems containsSemiMixedTypes="0" containsString="0" containsNumber="1" containsInteger="1" minValue="5" maxValue="2400"/>
    </cacheField>
    <cacheField name="Profit" numFmtId="0">
      <sharedItems containsSemiMixedTypes="0" containsString="0" containsNumber="1" containsInteger="1" minValue="5" maxValue="600"/>
    </cacheField>
    <cacheField name="Margin %" numFmtId="0" formula="Profit/Revenue" databaseField="0"/>
    <cacheField name="Days (OrderDate)" numFmtId="0" databaseField="0">
      <fieldGroup base="0">
        <rangePr groupBy="days" startDate="2023-01-15T00:00:00" endDate="2023-12-29T00:00:00"/>
        <groupItems count="368">
          <s v="&lt;15-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023"/>
        </groupItems>
      </fieldGroup>
    </cacheField>
    <cacheField name="Months (OrderDate)" numFmtId="0" databaseField="0">
      <fieldGroup base="0">
        <rangePr groupBy="months" startDate="2023-01-15T00:00:00" endDate="2023-12-29T00:00:00"/>
        <groupItems count="14">
          <s v="&lt;15-01-2023"/>
          <s v="Jan"/>
          <s v="Feb"/>
          <s v="Mar"/>
          <s v="Apr"/>
          <s v="May"/>
          <s v="Jun"/>
          <s v="Jul"/>
          <s v="Aug"/>
          <s v="Sep"/>
          <s v="Oct"/>
          <s v="Nov"/>
          <s v="Dec"/>
          <s v="&gt;29-12-2023"/>
        </groupItems>
      </fieldGroup>
    </cacheField>
  </cacheFields>
  <extLst>
    <ext xmlns:x14="http://schemas.microsoft.com/office/spreadsheetml/2009/9/main" uri="{725AE2AE-9491-48be-B2B4-4EB974FC3084}">
      <x14:pivotCacheDefinition pivotCacheId="3652205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s v="North America"/>
    <x v="0"/>
    <s v="Electronics"/>
    <x v="0"/>
    <x v="0"/>
    <n v="1200"/>
    <n v="800"/>
    <n v="400"/>
  </r>
  <r>
    <x v="1"/>
    <s v="Europe"/>
    <x v="1"/>
    <s v="Home"/>
    <x v="1"/>
    <x v="1"/>
    <n v="350"/>
    <n v="150"/>
    <n v="200"/>
  </r>
  <r>
    <x v="2"/>
    <s v="Asia"/>
    <x v="2"/>
    <s v="Electronics"/>
    <x v="2"/>
    <x v="0"/>
    <n v="2500"/>
    <n v="2000"/>
    <n v="500"/>
  </r>
  <r>
    <x v="3"/>
    <s v="North America"/>
    <x v="0"/>
    <s v="Clothing"/>
    <x v="3"/>
    <x v="0"/>
    <n v="25"/>
    <n v="5"/>
    <n v="20"/>
  </r>
  <r>
    <x v="4"/>
    <s v="Europe"/>
    <x v="3"/>
    <s v="Electronics"/>
    <x v="4"/>
    <x v="1"/>
    <n v="600"/>
    <n v="400"/>
    <n v="200"/>
  </r>
  <r>
    <x v="5"/>
    <s v="North America"/>
    <x v="4"/>
    <s v="Home"/>
    <x v="5"/>
    <x v="0"/>
    <n v="45"/>
    <n v="15"/>
    <n v="30"/>
  </r>
  <r>
    <x v="6"/>
    <s v="Asia"/>
    <x v="5"/>
    <s v="Electronics"/>
    <x v="0"/>
    <x v="0"/>
    <n v="1200"/>
    <n v="850"/>
    <n v="350"/>
  </r>
  <r>
    <x v="7"/>
    <s v="Europe"/>
    <x v="6"/>
    <s v="Clothing"/>
    <x v="6"/>
    <x v="1"/>
    <n v="80"/>
    <n v="30"/>
    <n v="50"/>
  </r>
  <r>
    <x v="8"/>
    <s v="North America"/>
    <x v="0"/>
    <s v="Electronics"/>
    <x v="2"/>
    <x v="1"/>
    <n v="2500"/>
    <n v="2100"/>
    <n v="400"/>
  </r>
  <r>
    <x v="9"/>
    <s v="Asia"/>
    <x v="2"/>
    <s v="Home"/>
    <x v="7"/>
    <x v="0"/>
    <n v="1500"/>
    <n v="900"/>
    <n v="600"/>
  </r>
  <r>
    <x v="10"/>
    <s v="Europe"/>
    <x v="1"/>
    <s v="Electronics"/>
    <x v="8"/>
    <x v="0"/>
    <n v="150"/>
    <n v="50"/>
    <n v="100"/>
  </r>
  <r>
    <x v="11"/>
    <s v="North America"/>
    <x v="0"/>
    <s v="Clothing"/>
    <x v="9"/>
    <x v="1"/>
    <n v="120"/>
    <n v="60"/>
    <n v="60"/>
  </r>
  <r>
    <x v="12"/>
    <s v="Asia"/>
    <x v="7"/>
    <s v="Electronics"/>
    <x v="0"/>
    <x v="0"/>
    <n v="1200"/>
    <n v="800"/>
    <n v="400"/>
  </r>
  <r>
    <x v="13"/>
    <s v="Europe"/>
    <x v="3"/>
    <s v="Home"/>
    <x v="1"/>
    <x v="0"/>
    <n v="350"/>
    <n v="160"/>
    <n v="190"/>
  </r>
  <r>
    <x v="14"/>
    <s v="North America"/>
    <x v="0"/>
    <s v="Electronics"/>
    <x v="2"/>
    <x v="0"/>
    <n v="2500"/>
    <n v="2000"/>
    <n v="500"/>
  </r>
  <r>
    <x v="15"/>
    <s v="North America"/>
    <x v="4"/>
    <s v="Clothing"/>
    <x v="3"/>
    <x v="1"/>
    <n v="25"/>
    <n v="8"/>
    <n v="17"/>
  </r>
  <r>
    <x v="16"/>
    <s v="Europe"/>
    <x v="6"/>
    <s v="Electronics"/>
    <x v="4"/>
    <x v="0"/>
    <n v="600"/>
    <n v="420"/>
    <n v="180"/>
  </r>
  <r>
    <x v="17"/>
    <s v="Asia"/>
    <x v="2"/>
    <s v="Home"/>
    <x v="5"/>
    <x v="1"/>
    <n v="45"/>
    <n v="20"/>
    <n v="25"/>
  </r>
  <r>
    <x v="18"/>
    <s v="North America"/>
    <x v="0"/>
    <s v="Electronics"/>
    <x v="0"/>
    <x v="0"/>
    <n v="1200"/>
    <n v="1000"/>
    <n v="200"/>
  </r>
  <r>
    <x v="19"/>
    <s v="Europe"/>
    <x v="1"/>
    <s v="Clothing"/>
    <x v="6"/>
    <x v="0"/>
    <n v="80"/>
    <n v="50"/>
    <n v="30"/>
  </r>
  <r>
    <x v="20"/>
    <s v="Asia"/>
    <x v="5"/>
    <s v="Electronics"/>
    <x v="2"/>
    <x v="1"/>
    <n v="2500"/>
    <n v="2300"/>
    <n v="200"/>
  </r>
  <r>
    <x v="21"/>
    <s v="North America"/>
    <x v="0"/>
    <s v="Home"/>
    <x v="7"/>
    <x v="0"/>
    <n v="1500"/>
    <n v="1300"/>
    <n v="200"/>
  </r>
  <r>
    <x v="22"/>
    <s v="Europe"/>
    <x v="3"/>
    <s v="Electronics"/>
    <x v="8"/>
    <x v="1"/>
    <n v="150"/>
    <n v="100"/>
    <n v="50"/>
  </r>
  <r>
    <x v="23"/>
    <s v="Asia"/>
    <x v="7"/>
    <s v="Clothing"/>
    <x v="9"/>
    <x v="0"/>
    <n v="120"/>
    <n v="90"/>
    <n v="30"/>
  </r>
  <r>
    <x v="24"/>
    <s v="North America"/>
    <x v="0"/>
    <s v="Electronics"/>
    <x v="0"/>
    <x v="1"/>
    <n v="1200"/>
    <n v="1100"/>
    <n v="100"/>
  </r>
  <r>
    <x v="25"/>
    <s v="Europe"/>
    <x v="6"/>
    <s v="Home"/>
    <x v="1"/>
    <x v="0"/>
    <n v="350"/>
    <n v="300"/>
    <n v="50"/>
  </r>
  <r>
    <x v="26"/>
    <s v="North America"/>
    <x v="4"/>
    <s v="Electronics"/>
    <x v="4"/>
    <x v="0"/>
    <n v="600"/>
    <n v="550"/>
    <n v="50"/>
  </r>
  <r>
    <x v="27"/>
    <s v="Asia"/>
    <x v="2"/>
    <s v="Clothing"/>
    <x v="3"/>
    <x v="1"/>
    <n v="25"/>
    <n v="20"/>
    <n v="5"/>
  </r>
  <r>
    <x v="28"/>
    <s v="Europe"/>
    <x v="1"/>
    <s v="Home"/>
    <x v="5"/>
    <x v="0"/>
    <n v="45"/>
    <n v="40"/>
    <n v="5"/>
  </r>
  <r>
    <x v="29"/>
    <s v="North America"/>
    <x v="0"/>
    <s v="Electronics"/>
    <x v="2"/>
    <x v="0"/>
    <n v="2500"/>
    <n v="2400"/>
    <n v="100"/>
  </r>
  <r>
    <x v="30"/>
    <s v="Asia"/>
    <x v="5"/>
    <s v="Electronics"/>
    <x v="8"/>
    <x v="1"/>
    <n v="150"/>
    <n v="140"/>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354561-EB5E-4C29-9886-02D88E093582}"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9:B52" firstHeaderRow="1" firstDataRow="1" firstDataCol="1"/>
  <pivotFields count="12">
    <pivotField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items count="9">
        <item x="4"/>
        <item x="7"/>
        <item x="6"/>
        <item x="3"/>
        <item x="2"/>
        <item x="5"/>
        <item x="1"/>
        <item x="0"/>
        <item t="default"/>
      </items>
    </pivotField>
    <pivotField showAll="0"/>
    <pivotField showAll="0">
      <items count="11">
        <item x="5"/>
        <item x="8"/>
        <item x="9"/>
        <item x="6"/>
        <item x="2"/>
        <item x="1"/>
        <item x="0"/>
        <item x="7"/>
        <item x="4"/>
        <item x="3"/>
        <item t="default"/>
      </items>
    </pivotField>
    <pivotField showAll="0">
      <items count="3">
        <item x="1"/>
        <item x="0"/>
        <item t="default"/>
      </items>
    </pivotField>
    <pivotField showAll="0"/>
    <pivotField showAll="0"/>
    <pivotField dataField="1" showAl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Profit" fld="8" baseField="0" baseItem="0" numFmtId="1"/>
  </dataFields>
  <formats count="1">
    <format dxfId="3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C39A6D-A71F-470F-9C1C-C01698015ECA}"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21:B30" firstHeaderRow="1" firstDataRow="1" firstDataCol="1"/>
  <pivotFields count="12">
    <pivotField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axis="axisRow" showAll="0">
      <items count="9">
        <item x="4"/>
        <item x="7"/>
        <item x="6"/>
        <item x="3"/>
        <item x="2"/>
        <item x="5"/>
        <item x="1"/>
        <item x="0"/>
        <item t="default"/>
      </items>
    </pivotField>
    <pivotField showAll="0"/>
    <pivotField showAll="0">
      <items count="11">
        <item x="5"/>
        <item x="8"/>
        <item x="9"/>
        <item x="6"/>
        <item x="2"/>
        <item x="1"/>
        <item x="0"/>
        <item x="7"/>
        <item x="4"/>
        <item x="3"/>
        <item t="default"/>
      </items>
    </pivotField>
    <pivotField showAll="0">
      <items count="3">
        <item x="1"/>
        <item x="0"/>
        <item t="default"/>
      </items>
    </pivotField>
    <pivotField dataField="1" showAll="0"/>
    <pivotField showAll="0"/>
    <pivotField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9">
    <i>
      <x/>
    </i>
    <i>
      <x v="1"/>
    </i>
    <i>
      <x v="2"/>
    </i>
    <i>
      <x v="3"/>
    </i>
    <i>
      <x v="4"/>
    </i>
    <i>
      <x v="5"/>
    </i>
    <i>
      <x v="6"/>
    </i>
    <i>
      <x v="7"/>
    </i>
    <i t="grand">
      <x/>
    </i>
  </rowItems>
  <colItems count="1">
    <i/>
  </colItems>
  <dataFields count="1">
    <dataField name="Sum of Revenue" fld="6" baseField="0" baseItem="0" numFmtId="1"/>
  </dataFields>
  <formats count="1">
    <format dxfId="3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1A21F3-509D-4280-B7CA-A88D6D82368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B9" firstHeaderRow="1" firstDataRow="1" firstDataCol="1"/>
  <pivotFields count="12">
    <pivotField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items count="9">
        <item x="4"/>
        <item x="7"/>
        <item x="6"/>
        <item x="3"/>
        <item x="2"/>
        <item x="5"/>
        <item x="1"/>
        <item x="0"/>
        <item t="default"/>
      </items>
    </pivotField>
    <pivotField showAll="0"/>
    <pivotField axis="axisRow" showAll="0" measureFilter="1">
      <items count="11">
        <item x="5"/>
        <item x="8"/>
        <item x="9"/>
        <item x="6"/>
        <item x="2"/>
        <item x="1"/>
        <item x="0"/>
        <item x="7"/>
        <item x="4"/>
        <item x="3"/>
        <item t="default"/>
      </items>
    </pivotField>
    <pivotField showAll="0">
      <items count="3">
        <item x="1"/>
        <item x="0"/>
        <item t="default"/>
      </items>
    </pivotField>
    <pivotField showAll="0"/>
    <pivotField showAll="0"/>
    <pivotField showAl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2"/>
    </i>
    <i>
      <x v="3"/>
    </i>
    <i>
      <x v="5"/>
    </i>
    <i>
      <x v="9"/>
    </i>
    <i t="grand">
      <x/>
    </i>
  </rowItems>
  <colItems count="1">
    <i/>
  </colItems>
  <dataFields count="1">
    <dataField name="Sum of Margin %" fld="9" baseField="0" baseItem="0" numFmtId="9"/>
  </dataFields>
  <formats count="1">
    <format dxfId="32">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2"/>
          </reference>
        </references>
      </pivotArea>
    </chartFormat>
    <chartFormat chart="2" format="8">
      <pivotArea type="data" outline="0" fieldPosition="0">
        <references count="2">
          <reference field="4294967294" count="1" selected="0">
            <x v="0"/>
          </reference>
          <reference field="4" count="1" selected="0">
            <x v="3"/>
          </reference>
        </references>
      </pivotArea>
    </chartFormat>
    <chartFormat chart="2" format="9">
      <pivotArea type="data" outline="0" fieldPosition="0">
        <references count="2">
          <reference field="4294967294" count="1" selected="0">
            <x v="0"/>
          </reference>
          <reference field="4" count="1" selected="0">
            <x v="5"/>
          </reference>
        </references>
      </pivotArea>
    </chartFormat>
    <chartFormat chart="2" format="10">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Channel" xr10:uid="{855DE8E5-6EDE-4963-92EF-E0CBFCE04D40}" sourceName="SalesChannel">
  <pivotTables>
    <pivotTable tabId="2" name="PivotTable1"/>
    <pivotTable tabId="2" name="PivotTable3"/>
    <pivotTable tabId="2" name="PivotTable4"/>
  </pivotTables>
  <data>
    <tabular pivotCacheId="36522058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Channel" xr10:uid="{BC0AE08B-40D2-4DD9-A986-A3398D2E6071}" cache="Slicer_SalesChannel" caption="SalesChannel" columnCoun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A873BC11-48A1-4545-88FC-78C6C7575B3D}" sourceName="OrderDate">
  <pivotTables>
    <pivotTable tabId="2" name="PivotTable4"/>
    <pivotTable tabId="2" name="PivotTable1"/>
    <pivotTable tabId="2" name="PivotTable3"/>
  </pivotTables>
  <state minimalRefreshVersion="6" lastRefreshVersion="6" pivotCacheId="365220582"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19D3DF75-6041-4B36-829A-AEC3AEDA397C}" cache="NativeTimeline_OrderDate" caption="Order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9837B-ABDF-4650-B8BC-8D88C7175821}">
  <dimension ref="A1:I32"/>
  <sheetViews>
    <sheetView topLeftCell="G1" workbookViewId="0">
      <selection activeCell="G2" sqref="G2"/>
    </sheetView>
  </sheetViews>
  <sheetFormatPr defaultRowHeight="14.4" x14ac:dyDescent="0.3"/>
  <cols>
    <col min="1" max="1" width="10.33203125" bestFit="1" customWidth="1"/>
    <col min="2" max="2" width="12.88671875" bestFit="1" customWidth="1"/>
    <col min="3" max="3" width="10.88671875" bestFit="1" customWidth="1"/>
    <col min="4" max="4" width="14.77734375" bestFit="1" customWidth="1"/>
    <col min="5" max="5" width="11.109375" bestFit="1" customWidth="1"/>
    <col min="6" max="6" width="11.6640625" bestFit="1" customWidth="1"/>
    <col min="7" max="7" width="8" bestFit="1" customWidth="1"/>
    <col min="8" max="8" width="5" bestFit="1" customWidth="1"/>
    <col min="9" max="9" width="5.5546875" bestFit="1" customWidth="1"/>
  </cols>
  <sheetData>
    <row r="1" spans="1:9" x14ac:dyDescent="0.3">
      <c r="A1" s="3" t="s">
        <v>0</v>
      </c>
      <c r="B1" s="3" t="s">
        <v>1</v>
      </c>
      <c r="C1" s="3" t="s">
        <v>2</v>
      </c>
      <c r="D1" s="3" t="s">
        <v>3</v>
      </c>
      <c r="E1" s="3" t="s">
        <v>4</v>
      </c>
      <c r="F1" s="3" t="s">
        <v>5</v>
      </c>
      <c r="G1" s="3" t="s">
        <v>6</v>
      </c>
      <c r="H1" s="3" t="s">
        <v>7</v>
      </c>
      <c r="I1" s="3" t="s">
        <v>8</v>
      </c>
    </row>
    <row r="2" spans="1:9" x14ac:dyDescent="0.3">
      <c r="A2" s="2">
        <v>44941</v>
      </c>
      <c r="B2" s="1" t="s">
        <v>9</v>
      </c>
      <c r="C2" s="1" t="s">
        <v>10</v>
      </c>
      <c r="D2" s="1" t="s">
        <v>11</v>
      </c>
      <c r="E2" s="1" t="s">
        <v>12</v>
      </c>
      <c r="F2" s="1" t="s">
        <v>13</v>
      </c>
      <c r="G2" s="1">
        <v>1200</v>
      </c>
      <c r="H2" s="1">
        <v>800</v>
      </c>
      <c r="I2" s="1">
        <v>400</v>
      </c>
    </row>
    <row r="3" spans="1:9" x14ac:dyDescent="0.3">
      <c r="A3" s="2">
        <v>44946</v>
      </c>
      <c r="B3" s="1" t="s">
        <v>14</v>
      </c>
      <c r="C3" s="1" t="s">
        <v>15</v>
      </c>
      <c r="D3" s="1" t="s">
        <v>16</v>
      </c>
      <c r="E3" s="1" t="s">
        <v>17</v>
      </c>
      <c r="F3" s="1" t="s">
        <v>18</v>
      </c>
      <c r="G3" s="1">
        <v>350</v>
      </c>
      <c r="H3" s="1">
        <v>150</v>
      </c>
      <c r="I3" s="1">
        <v>200</v>
      </c>
    </row>
    <row r="4" spans="1:9" x14ac:dyDescent="0.3">
      <c r="A4" s="2">
        <v>44967</v>
      </c>
      <c r="B4" s="1" t="s">
        <v>19</v>
      </c>
      <c r="C4" s="1" t="s">
        <v>20</v>
      </c>
      <c r="D4" s="1" t="s">
        <v>11</v>
      </c>
      <c r="E4" s="1" t="s">
        <v>21</v>
      </c>
      <c r="F4" s="1" t="s">
        <v>13</v>
      </c>
      <c r="G4" s="1">
        <v>2500</v>
      </c>
      <c r="H4" s="1">
        <v>2000</v>
      </c>
      <c r="I4" s="1">
        <v>500</v>
      </c>
    </row>
    <row r="5" spans="1:9" x14ac:dyDescent="0.3">
      <c r="A5" s="2">
        <v>44982</v>
      </c>
      <c r="B5" s="1" t="s">
        <v>9</v>
      </c>
      <c r="C5" s="1" t="s">
        <v>10</v>
      </c>
      <c r="D5" s="1" t="s">
        <v>22</v>
      </c>
      <c r="E5" s="1" t="s">
        <v>23</v>
      </c>
      <c r="F5" s="1" t="s">
        <v>13</v>
      </c>
      <c r="G5" s="1">
        <v>25</v>
      </c>
      <c r="H5" s="1">
        <v>5</v>
      </c>
      <c r="I5" s="1">
        <v>20</v>
      </c>
    </row>
    <row r="6" spans="1:9" x14ac:dyDescent="0.3">
      <c r="A6" s="2">
        <v>44990</v>
      </c>
      <c r="B6" s="1" t="s">
        <v>14</v>
      </c>
      <c r="C6" s="1" t="s">
        <v>24</v>
      </c>
      <c r="D6" s="1" t="s">
        <v>11</v>
      </c>
      <c r="E6" s="1" t="s">
        <v>25</v>
      </c>
      <c r="F6" s="1" t="s">
        <v>18</v>
      </c>
      <c r="G6" s="1">
        <v>600</v>
      </c>
      <c r="H6" s="1">
        <v>400</v>
      </c>
      <c r="I6" s="1">
        <v>200</v>
      </c>
    </row>
    <row r="7" spans="1:9" x14ac:dyDescent="0.3">
      <c r="A7" s="2">
        <v>45000</v>
      </c>
      <c r="B7" s="1" t="s">
        <v>9</v>
      </c>
      <c r="C7" s="1" t="s">
        <v>26</v>
      </c>
      <c r="D7" s="1" t="s">
        <v>16</v>
      </c>
      <c r="E7" s="1" t="s">
        <v>27</v>
      </c>
      <c r="F7" s="1" t="s">
        <v>13</v>
      </c>
      <c r="G7" s="1">
        <v>45</v>
      </c>
      <c r="H7" s="1">
        <v>15</v>
      </c>
      <c r="I7" s="1">
        <v>30</v>
      </c>
    </row>
    <row r="8" spans="1:9" x14ac:dyDescent="0.3">
      <c r="A8" s="2">
        <v>45026</v>
      </c>
      <c r="B8" s="1" t="s">
        <v>19</v>
      </c>
      <c r="C8" s="1" t="s">
        <v>28</v>
      </c>
      <c r="D8" s="1" t="s">
        <v>11</v>
      </c>
      <c r="E8" s="1" t="s">
        <v>12</v>
      </c>
      <c r="F8" s="1" t="s">
        <v>13</v>
      </c>
      <c r="G8" s="1">
        <v>1200</v>
      </c>
      <c r="H8" s="1">
        <v>850</v>
      </c>
      <c r="I8" s="1">
        <v>350</v>
      </c>
    </row>
    <row r="9" spans="1:9" x14ac:dyDescent="0.3">
      <c r="A9" s="2">
        <v>45038</v>
      </c>
      <c r="B9" s="1" t="s">
        <v>14</v>
      </c>
      <c r="C9" s="1" t="s">
        <v>29</v>
      </c>
      <c r="D9" s="1" t="s">
        <v>22</v>
      </c>
      <c r="E9" s="1" t="s">
        <v>30</v>
      </c>
      <c r="F9" s="1" t="s">
        <v>18</v>
      </c>
      <c r="G9" s="1">
        <v>80</v>
      </c>
      <c r="H9" s="1">
        <v>30</v>
      </c>
      <c r="I9" s="1">
        <v>50</v>
      </c>
    </row>
    <row r="10" spans="1:9" x14ac:dyDescent="0.3">
      <c r="A10" s="2">
        <v>45051</v>
      </c>
      <c r="B10" s="1" t="s">
        <v>9</v>
      </c>
      <c r="C10" s="1" t="s">
        <v>10</v>
      </c>
      <c r="D10" s="1" t="s">
        <v>11</v>
      </c>
      <c r="E10" s="1" t="s">
        <v>21</v>
      </c>
      <c r="F10" s="1" t="s">
        <v>18</v>
      </c>
      <c r="G10" s="1">
        <v>2500</v>
      </c>
      <c r="H10" s="1">
        <v>2100</v>
      </c>
      <c r="I10" s="1">
        <v>400</v>
      </c>
    </row>
    <row r="11" spans="1:9" x14ac:dyDescent="0.3">
      <c r="A11" s="2">
        <v>45064</v>
      </c>
      <c r="B11" s="1" t="s">
        <v>19</v>
      </c>
      <c r="C11" s="1" t="s">
        <v>20</v>
      </c>
      <c r="D11" s="1" t="s">
        <v>16</v>
      </c>
      <c r="E11" s="1" t="s">
        <v>31</v>
      </c>
      <c r="F11" s="1" t="s">
        <v>13</v>
      </c>
      <c r="G11" s="1">
        <v>1500</v>
      </c>
      <c r="H11" s="1">
        <v>900</v>
      </c>
      <c r="I11" s="1">
        <v>600</v>
      </c>
    </row>
    <row r="12" spans="1:9" x14ac:dyDescent="0.3">
      <c r="A12" s="2">
        <v>45089</v>
      </c>
      <c r="B12" s="1" t="s">
        <v>14</v>
      </c>
      <c r="C12" s="1" t="s">
        <v>15</v>
      </c>
      <c r="D12" s="1" t="s">
        <v>11</v>
      </c>
      <c r="E12" s="1" t="s">
        <v>32</v>
      </c>
      <c r="F12" s="1" t="s">
        <v>13</v>
      </c>
      <c r="G12" s="1">
        <v>150</v>
      </c>
      <c r="H12" s="1">
        <v>50</v>
      </c>
      <c r="I12" s="1">
        <v>100</v>
      </c>
    </row>
    <row r="13" spans="1:9" x14ac:dyDescent="0.3">
      <c r="A13" s="2">
        <v>45107</v>
      </c>
      <c r="B13" s="1" t="s">
        <v>9</v>
      </c>
      <c r="C13" s="1" t="s">
        <v>10</v>
      </c>
      <c r="D13" s="1" t="s">
        <v>22</v>
      </c>
      <c r="E13" s="1" t="s">
        <v>33</v>
      </c>
      <c r="F13" s="1" t="s">
        <v>18</v>
      </c>
      <c r="G13" s="1">
        <v>120</v>
      </c>
      <c r="H13" s="1">
        <v>60</v>
      </c>
      <c r="I13" s="1">
        <v>60</v>
      </c>
    </row>
    <row r="14" spans="1:9" x14ac:dyDescent="0.3">
      <c r="A14" s="2">
        <v>45112</v>
      </c>
      <c r="B14" s="1" t="s">
        <v>19</v>
      </c>
      <c r="C14" s="1" t="s">
        <v>34</v>
      </c>
      <c r="D14" s="1" t="s">
        <v>11</v>
      </c>
      <c r="E14" s="1" t="s">
        <v>12</v>
      </c>
      <c r="F14" s="1" t="s">
        <v>13</v>
      </c>
      <c r="G14" s="1">
        <v>1200</v>
      </c>
      <c r="H14" s="1">
        <v>800</v>
      </c>
      <c r="I14" s="1">
        <v>400</v>
      </c>
    </row>
    <row r="15" spans="1:9" x14ac:dyDescent="0.3">
      <c r="A15" s="2">
        <v>45127</v>
      </c>
      <c r="B15" s="1" t="s">
        <v>14</v>
      </c>
      <c r="C15" s="1" t="s">
        <v>24</v>
      </c>
      <c r="D15" s="1" t="s">
        <v>16</v>
      </c>
      <c r="E15" s="1" t="s">
        <v>17</v>
      </c>
      <c r="F15" s="1" t="s">
        <v>13</v>
      </c>
      <c r="G15" s="1">
        <v>350</v>
      </c>
      <c r="H15" s="1">
        <v>160</v>
      </c>
      <c r="I15" s="1">
        <v>190</v>
      </c>
    </row>
    <row r="16" spans="1:9" x14ac:dyDescent="0.3">
      <c r="A16" s="2">
        <v>45153</v>
      </c>
      <c r="B16" s="1" t="s">
        <v>9</v>
      </c>
      <c r="C16" s="1" t="s">
        <v>10</v>
      </c>
      <c r="D16" s="1" t="s">
        <v>11</v>
      </c>
      <c r="E16" s="1" t="s">
        <v>21</v>
      </c>
      <c r="F16" s="1" t="s">
        <v>13</v>
      </c>
      <c r="G16" s="1">
        <v>2500</v>
      </c>
      <c r="H16" s="1">
        <v>2000</v>
      </c>
      <c r="I16" s="1">
        <v>500</v>
      </c>
    </row>
    <row r="17" spans="1:9" x14ac:dyDescent="0.3">
      <c r="A17" s="2">
        <v>45163</v>
      </c>
      <c r="B17" s="1" t="s">
        <v>9</v>
      </c>
      <c r="C17" s="1" t="s">
        <v>26</v>
      </c>
      <c r="D17" s="1" t="s">
        <v>22</v>
      </c>
      <c r="E17" s="1" t="s">
        <v>23</v>
      </c>
      <c r="F17" s="1" t="s">
        <v>18</v>
      </c>
      <c r="G17" s="1">
        <v>25</v>
      </c>
      <c r="H17" s="1">
        <v>8</v>
      </c>
      <c r="I17" s="1">
        <v>17</v>
      </c>
    </row>
    <row r="18" spans="1:9" x14ac:dyDescent="0.3">
      <c r="A18" s="2">
        <v>45170</v>
      </c>
      <c r="B18" s="1" t="s">
        <v>14</v>
      </c>
      <c r="C18" s="1" t="s">
        <v>29</v>
      </c>
      <c r="D18" s="1" t="s">
        <v>11</v>
      </c>
      <c r="E18" s="1" t="s">
        <v>25</v>
      </c>
      <c r="F18" s="1" t="s">
        <v>13</v>
      </c>
      <c r="G18" s="1">
        <v>600</v>
      </c>
      <c r="H18" s="1">
        <v>420</v>
      </c>
      <c r="I18" s="1">
        <v>180</v>
      </c>
    </row>
    <row r="19" spans="1:9" x14ac:dyDescent="0.3">
      <c r="A19" s="2">
        <v>45179</v>
      </c>
      <c r="B19" s="1" t="s">
        <v>19</v>
      </c>
      <c r="C19" s="1" t="s">
        <v>20</v>
      </c>
      <c r="D19" s="1" t="s">
        <v>16</v>
      </c>
      <c r="E19" s="1" t="s">
        <v>27</v>
      </c>
      <c r="F19" s="1" t="s">
        <v>18</v>
      </c>
      <c r="G19" s="1">
        <v>45</v>
      </c>
      <c r="H19" s="1">
        <v>20</v>
      </c>
      <c r="I19" s="1">
        <v>25</v>
      </c>
    </row>
    <row r="20" spans="1:9" x14ac:dyDescent="0.3">
      <c r="A20" s="2">
        <v>45204</v>
      </c>
      <c r="B20" s="1" t="s">
        <v>9</v>
      </c>
      <c r="C20" s="1" t="s">
        <v>10</v>
      </c>
      <c r="D20" s="1" t="s">
        <v>11</v>
      </c>
      <c r="E20" s="1" t="s">
        <v>12</v>
      </c>
      <c r="F20" s="1" t="s">
        <v>13</v>
      </c>
      <c r="G20" s="1">
        <v>1200</v>
      </c>
      <c r="H20" s="1">
        <v>1000</v>
      </c>
      <c r="I20" s="1">
        <v>200</v>
      </c>
    </row>
    <row r="21" spans="1:9" x14ac:dyDescent="0.3">
      <c r="A21" s="2">
        <v>45214</v>
      </c>
      <c r="B21" s="1" t="s">
        <v>14</v>
      </c>
      <c r="C21" s="1" t="s">
        <v>15</v>
      </c>
      <c r="D21" s="1" t="s">
        <v>22</v>
      </c>
      <c r="E21" s="1" t="s">
        <v>30</v>
      </c>
      <c r="F21" s="1" t="s">
        <v>13</v>
      </c>
      <c r="G21" s="1">
        <v>80</v>
      </c>
      <c r="H21" s="1">
        <v>50</v>
      </c>
      <c r="I21" s="1">
        <v>30</v>
      </c>
    </row>
    <row r="22" spans="1:9" x14ac:dyDescent="0.3">
      <c r="A22" s="2">
        <v>45224</v>
      </c>
      <c r="B22" s="1" t="s">
        <v>19</v>
      </c>
      <c r="C22" s="1" t="s">
        <v>28</v>
      </c>
      <c r="D22" s="1" t="s">
        <v>11</v>
      </c>
      <c r="E22" s="1" t="s">
        <v>21</v>
      </c>
      <c r="F22" s="1" t="s">
        <v>18</v>
      </c>
      <c r="G22" s="1">
        <v>2500</v>
      </c>
      <c r="H22" s="1">
        <v>2300</v>
      </c>
      <c r="I22" s="1">
        <v>200</v>
      </c>
    </row>
    <row r="23" spans="1:9" x14ac:dyDescent="0.3">
      <c r="A23" s="2">
        <v>45231</v>
      </c>
      <c r="B23" s="1" t="s">
        <v>9</v>
      </c>
      <c r="C23" s="1" t="s">
        <v>10</v>
      </c>
      <c r="D23" s="1" t="s">
        <v>16</v>
      </c>
      <c r="E23" s="1" t="s">
        <v>31</v>
      </c>
      <c r="F23" s="1" t="s">
        <v>13</v>
      </c>
      <c r="G23" s="1">
        <v>1500</v>
      </c>
      <c r="H23" s="1">
        <v>1300</v>
      </c>
      <c r="I23" s="1">
        <v>200</v>
      </c>
    </row>
    <row r="24" spans="1:9" x14ac:dyDescent="0.3">
      <c r="A24" s="2">
        <v>45240</v>
      </c>
      <c r="B24" s="1" t="s">
        <v>14</v>
      </c>
      <c r="C24" s="1" t="s">
        <v>24</v>
      </c>
      <c r="D24" s="1" t="s">
        <v>11</v>
      </c>
      <c r="E24" s="1" t="s">
        <v>32</v>
      </c>
      <c r="F24" s="1" t="s">
        <v>18</v>
      </c>
      <c r="G24" s="1">
        <v>150</v>
      </c>
      <c r="H24" s="1">
        <v>100</v>
      </c>
      <c r="I24" s="1">
        <v>50</v>
      </c>
    </row>
    <row r="25" spans="1:9" x14ac:dyDescent="0.3">
      <c r="A25" s="2">
        <v>45250</v>
      </c>
      <c r="B25" s="1" t="s">
        <v>19</v>
      </c>
      <c r="C25" s="1" t="s">
        <v>34</v>
      </c>
      <c r="D25" s="1" t="s">
        <v>22</v>
      </c>
      <c r="E25" s="1" t="s">
        <v>33</v>
      </c>
      <c r="F25" s="1" t="s">
        <v>13</v>
      </c>
      <c r="G25" s="1">
        <v>120</v>
      </c>
      <c r="H25" s="1">
        <v>90</v>
      </c>
      <c r="I25" s="1">
        <v>30</v>
      </c>
    </row>
    <row r="26" spans="1:9" x14ac:dyDescent="0.3">
      <c r="A26" s="2">
        <v>45261</v>
      </c>
      <c r="B26" s="1" t="s">
        <v>9</v>
      </c>
      <c r="C26" s="1" t="s">
        <v>10</v>
      </c>
      <c r="D26" s="1" t="s">
        <v>11</v>
      </c>
      <c r="E26" s="1" t="s">
        <v>12</v>
      </c>
      <c r="F26" s="1" t="s">
        <v>18</v>
      </c>
      <c r="G26" s="1">
        <v>1200</v>
      </c>
      <c r="H26" s="1">
        <v>1100</v>
      </c>
      <c r="I26" s="1">
        <v>100</v>
      </c>
    </row>
    <row r="27" spans="1:9" x14ac:dyDescent="0.3">
      <c r="A27" s="2">
        <v>45265</v>
      </c>
      <c r="B27" s="1" t="s">
        <v>14</v>
      </c>
      <c r="C27" s="1" t="s">
        <v>29</v>
      </c>
      <c r="D27" s="1" t="s">
        <v>16</v>
      </c>
      <c r="E27" s="1" t="s">
        <v>17</v>
      </c>
      <c r="F27" s="1" t="s">
        <v>13</v>
      </c>
      <c r="G27" s="1">
        <v>350</v>
      </c>
      <c r="H27" s="1">
        <v>300</v>
      </c>
      <c r="I27" s="1">
        <v>50</v>
      </c>
    </row>
    <row r="28" spans="1:9" x14ac:dyDescent="0.3">
      <c r="A28" s="2">
        <v>45270</v>
      </c>
      <c r="B28" s="1" t="s">
        <v>9</v>
      </c>
      <c r="C28" s="1" t="s">
        <v>26</v>
      </c>
      <c r="D28" s="1" t="s">
        <v>11</v>
      </c>
      <c r="E28" s="1" t="s">
        <v>25</v>
      </c>
      <c r="F28" s="1" t="s">
        <v>13</v>
      </c>
      <c r="G28" s="1">
        <v>600</v>
      </c>
      <c r="H28" s="1">
        <v>550</v>
      </c>
      <c r="I28" s="1">
        <v>50</v>
      </c>
    </row>
    <row r="29" spans="1:9" x14ac:dyDescent="0.3">
      <c r="A29" s="2">
        <v>45275</v>
      </c>
      <c r="B29" s="1" t="s">
        <v>19</v>
      </c>
      <c r="C29" s="1" t="s">
        <v>20</v>
      </c>
      <c r="D29" s="1" t="s">
        <v>22</v>
      </c>
      <c r="E29" s="1" t="s">
        <v>23</v>
      </c>
      <c r="F29" s="1" t="s">
        <v>18</v>
      </c>
      <c r="G29" s="1">
        <v>25</v>
      </c>
      <c r="H29" s="1">
        <v>20</v>
      </c>
      <c r="I29" s="1">
        <v>5</v>
      </c>
    </row>
    <row r="30" spans="1:9" x14ac:dyDescent="0.3">
      <c r="A30" s="2">
        <v>45280</v>
      </c>
      <c r="B30" s="1" t="s">
        <v>14</v>
      </c>
      <c r="C30" s="1" t="s">
        <v>15</v>
      </c>
      <c r="D30" s="1" t="s">
        <v>16</v>
      </c>
      <c r="E30" s="1" t="s">
        <v>27</v>
      </c>
      <c r="F30" s="1" t="s">
        <v>13</v>
      </c>
      <c r="G30" s="1">
        <v>45</v>
      </c>
      <c r="H30" s="1">
        <v>40</v>
      </c>
      <c r="I30" s="1">
        <v>5</v>
      </c>
    </row>
    <row r="31" spans="1:9" x14ac:dyDescent="0.3">
      <c r="A31" s="2">
        <v>45284</v>
      </c>
      <c r="B31" s="1" t="s">
        <v>9</v>
      </c>
      <c r="C31" s="1" t="s">
        <v>10</v>
      </c>
      <c r="D31" s="1" t="s">
        <v>11</v>
      </c>
      <c r="E31" s="1" t="s">
        <v>21</v>
      </c>
      <c r="F31" s="1" t="s">
        <v>13</v>
      </c>
      <c r="G31" s="1">
        <v>2500</v>
      </c>
      <c r="H31" s="1">
        <v>2400</v>
      </c>
      <c r="I31" s="1">
        <v>100</v>
      </c>
    </row>
    <row r="32" spans="1:9" x14ac:dyDescent="0.3">
      <c r="A32" s="2">
        <v>45288</v>
      </c>
      <c r="B32" s="1" t="s">
        <v>19</v>
      </c>
      <c r="C32" s="1" t="s">
        <v>28</v>
      </c>
      <c r="D32" s="1" t="s">
        <v>11</v>
      </c>
      <c r="E32" s="1" t="s">
        <v>32</v>
      </c>
      <c r="F32" s="1" t="s">
        <v>18</v>
      </c>
      <c r="G32" s="1">
        <v>150</v>
      </c>
      <c r="H32" s="1">
        <v>140</v>
      </c>
      <c r="I32" s="1">
        <v>10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7B6BC-903E-4C7D-A45F-286FB1EF75B0}">
  <dimension ref="A1:V52"/>
  <sheetViews>
    <sheetView showGridLines="0" tabSelected="1" zoomScale="95" zoomScaleNormal="95" workbookViewId="0">
      <selection activeCell="V6" sqref="V6"/>
    </sheetView>
  </sheetViews>
  <sheetFormatPr defaultRowHeight="14.4" x14ac:dyDescent="0.3"/>
  <cols>
    <col min="1" max="1" width="12.77734375" bestFit="1" customWidth="1"/>
    <col min="2" max="2" width="14.88671875" bestFit="1" customWidth="1"/>
    <col min="21" max="21" width="6.109375" customWidth="1"/>
    <col min="22" max="22" width="8.88671875" style="10"/>
  </cols>
  <sheetData>
    <row r="1" spans="1:22" x14ac:dyDescent="0.3">
      <c r="A1" s="11" t="s">
        <v>54</v>
      </c>
      <c r="B1" s="11"/>
      <c r="D1" s="8"/>
      <c r="E1" s="8"/>
      <c r="F1" s="8"/>
      <c r="G1" s="8"/>
      <c r="H1" s="8"/>
      <c r="I1" s="8"/>
      <c r="J1" s="8"/>
      <c r="K1" s="8"/>
      <c r="L1" s="8"/>
      <c r="M1" s="8"/>
      <c r="N1" s="8"/>
      <c r="O1" s="8"/>
      <c r="P1" s="8"/>
      <c r="Q1" s="8"/>
      <c r="R1" s="8"/>
      <c r="S1" s="8"/>
      <c r="T1" s="8"/>
      <c r="U1" s="8"/>
      <c r="V1" s="9"/>
    </row>
    <row r="2" spans="1:22" x14ac:dyDescent="0.3">
      <c r="D2" s="8"/>
      <c r="E2" s="8"/>
      <c r="F2" s="8"/>
      <c r="G2" s="8"/>
      <c r="H2" s="8"/>
      <c r="I2" s="8"/>
      <c r="J2" s="8"/>
      <c r="K2" s="8"/>
      <c r="L2" s="8"/>
      <c r="M2" s="8"/>
      <c r="N2" s="8"/>
      <c r="O2" s="8"/>
      <c r="P2" s="8"/>
      <c r="Q2" s="8"/>
      <c r="R2" s="8"/>
      <c r="S2" s="8"/>
      <c r="T2" s="8"/>
      <c r="U2" s="8"/>
      <c r="V2" s="9"/>
    </row>
    <row r="3" spans="1:22" x14ac:dyDescent="0.3">
      <c r="A3" s="5" t="s">
        <v>36</v>
      </c>
      <c r="B3" t="s">
        <v>35</v>
      </c>
      <c r="D3" s="8"/>
      <c r="E3" s="8"/>
      <c r="F3" s="8"/>
      <c r="G3" s="8"/>
      <c r="H3" s="8"/>
      <c r="I3" s="8"/>
      <c r="J3" s="8"/>
      <c r="K3" s="8"/>
      <c r="L3" s="8"/>
      <c r="M3" s="8"/>
      <c r="N3" s="8"/>
      <c r="O3" s="8"/>
      <c r="P3" s="8"/>
      <c r="Q3" s="8"/>
      <c r="R3" s="8"/>
      <c r="S3" s="8"/>
      <c r="T3" s="8"/>
      <c r="U3" s="8"/>
      <c r="V3" s="9"/>
    </row>
    <row r="4" spans="1:22" x14ac:dyDescent="0.3">
      <c r="A4" s="6" t="s">
        <v>27</v>
      </c>
      <c r="B4" s="4">
        <v>0.44444444444444442</v>
      </c>
      <c r="D4" s="8"/>
      <c r="E4" s="8"/>
      <c r="F4" s="8"/>
      <c r="G4" s="8"/>
      <c r="H4" s="8"/>
      <c r="I4" s="8"/>
      <c r="J4" s="8"/>
      <c r="K4" s="8"/>
      <c r="L4" s="8"/>
      <c r="M4" s="8"/>
      <c r="N4" s="8"/>
      <c r="O4" s="8"/>
      <c r="P4" s="8"/>
      <c r="Q4" s="8"/>
      <c r="R4" s="8"/>
      <c r="S4" s="8"/>
      <c r="T4" s="8"/>
      <c r="U4" s="8"/>
      <c r="V4" s="9"/>
    </row>
    <row r="5" spans="1:22" x14ac:dyDescent="0.3">
      <c r="A5" s="6" t="s">
        <v>33</v>
      </c>
      <c r="B5" s="4">
        <v>0.375</v>
      </c>
      <c r="D5" s="8"/>
      <c r="E5" s="8"/>
      <c r="F5" s="8"/>
      <c r="G5" s="8"/>
      <c r="H5" s="8"/>
      <c r="I5" s="8"/>
      <c r="J5" s="8"/>
      <c r="K5" s="8"/>
      <c r="L5" s="8"/>
      <c r="M5" s="8"/>
      <c r="N5" s="8"/>
      <c r="O5" s="8"/>
      <c r="P5" s="8"/>
      <c r="Q5" s="8"/>
      <c r="R5" s="8"/>
      <c r="S5" s="8"/>
      <c r="T5" s="8"/>
      <c r="U5" s="8"/>
      <c r="V5" s="9"/>
    </row>
    <row r="6" spans="1:22" x14ac:dyDescent="0.3">
      <c r="A6" s="6" t="s">
        <v>30</v>
      </c>
      <c r="B6" s="4">
        <v>0.5</v>
      </c>
      <c r="D6" s="8"/>
      <c r="E6" s="8"/>
      <c r="F6" s="8"/>
      <c r="G6" s="8"/>
      <c r="H6" s="8"/>
      <c r="I6" s="8"/>
      <c r="J6" s="8"/>
      <c r="K6" s="8"/>
      <c r="L6" s="8"/>
      <c r="M6" s="8"/>
      <c r="N6" s="8"/>
      <c r="O6" s="8"/>
      <c r="P6" s="8"/>
      <c r="Q6" s="8"/>
      <c r="R6" s="8"/>
      <c r="S6" s="8"/>
      <c r="T6" s="8"/>
      <c r="U6" s="8"/>
      <c r="V6" s="9"/>
    </row>
    <row r="7" spans="1:22" x14ac:dyDescent="0.3">
      <c r="A7" s="6" t="s">
        <v>17</v>
      </c>
      <c r="B7" s="4">
        <v>0.41904761904761906</v>
      </c>
      <c r="D7" s="8"/>
      <c r="E7" s="8"/>
      <c r="F7" s="8"/>
      <c r="G7" s="8"/>
      <c r="H7" s="8"/>
      <c r="I7" s="8"/>
      <c r="J7" s="8"/>
      <c r="K7" s="8"/>
      <c r="L7" s="8"/>
      <c r="M7" s="8"/>
      <c r="N7" s="8"/>
      <c r="O7" s="8"/>
      <c r="P7" s="8"/>
      <c r="Q7" s="8"/>
      <c r="R7" s="8"/>
      <c r="S7" s="8"/>
      <c r="T7" s="8"/>
      <c r="U7" s="8"/>
      <c r="V7" s="9"/>
    </row>
    <row r="8" spans="1:22" x14ac:dyDescent="0.3">
      <c r="A8" s="6" t="s">
        <v>23</v>
      </c>
      <c r="B8" s="4">
        <v>0.56000000000000005</v>
      </c>
      <c r="D8" s="8"/>
      <c r="E8" s="8"/>
      <c r="F8" s="8"/>
      <c r="G8" s="8"/>
      <c r="H8" s="8"/>
      <c r="I8" s="8"/>
      <c r="J8" s="8"/>
      <c r="K8" s="8"/>
      <c r="L8" s="8"/>
      <c r="M8" s="8"/>
      <c r="N8" s="8"/>
      <c r="O8" s="8"/>
      <c r="P8" s="8"/>
      <c r="Q8" s="8"/>
      <c r="R8" s="8"/>
      <c r="S8" s="8"/>
      <c r="T8" s="8"/>
      <c r="U8" s="8"/>
      <c r="V8" s="9"/>
    </row>
    <row r="9" spans="1:22" x14ac:dyDescent="0.3">
      <c r="A9" s="6" t="s">
        <v>37</v>
      </c>
      <c r="B9" s="4">
        <v>0.42891566265060244</v>
      </c>
      <c r="D9" s="8"/>
      <c r="E9" s="8"/>
      <c r="F9" s="8"/>
      <c r="G9" s="8"/>
      <c r="H9" s="8"/>
      <c r="I9" s="8"/>
      <c r="J9" s="8"/>
      <c r="K9" s="8"/>
      <c r="L9" s="8"/>
      <c r="M9" s="8"/>
      <c r="N9" s="8"/>
      <c r="O9" s="8"/>
      <c r="P9" s="8"/>
      <c r="Q9" s="8"/>
      <c r="R9" s="8"/>
      <c r="S9" s="8"/>
      <c r="T9" s="8"/>
      <c r="U9" s="8"/>
      <c r="V9" s="9"/>
    </row>
    <row r="10" spans="1:22" x14ac:dyDescent="0.3">
      <c r="D10" s="8"/>
      <c r="E10" s="8"/>
      <c r="F10" s="8"/>
      <c r="G10" s="8"/>
      <c r="H10" s="8"/>
      <c r="I10" s="8"/>
      <c r="J10" s="8"/>
      <c r="K10" s="8"/>
      <c r="L10" s="8"/>
      <c r="M10" s="8"/>
      <c r="N10" s="8"/>
      <c r="O10" s="8"/>
      <c r="P10" s="8"/>
      <c r="Q10" s="8"/>
      <c r="R10" s="8"/>
      <c r="S10" s="8"/>
      <c r="T10" s="8"/>
      <c r="U10" s="8"/>
      <c r="V10" s="9"/>
    </row>
    <row r="11" spans="1:22" x14ac:dyDescent="0.3">
      <c r="D11" s="8"/>
      <c r="E11" s="8"/>
      <c r="F11" s="8"/>
      <c r="G11" s="8"/>
      <c r="H11" s="8"/>
      <c r="I11" s="8"/>
      <c r="J11" s="8"/>
      <c r="K11" s="8"/>
      <c r="L11" s="8"/>
      <c r="M11" s="8"/>
      <c r="N11" s="8"/>
      <c r="O11" s="8"/>
      <c r="P11" s="8"/>
      <c r="Q11" s="8"/>
      <c r="R11" s="8"/>
      <c r="S11" s="8"/>
      <c r="T11" s="8"/>
      <c r="U11" s="8"/>
      <c r="V11" s="9"/>
    </row>
    <row r="12" spans="1:22" x14ac:dyDescent="0.3">
      <c r="D12" s="8"/>
      <c r="E12" s="8"/>
      <c r="F12" s="8"/>
      <c r="G12" s="8"/>
      <c r="H12" s="8"/>
      <c r="I12" s="8"/>
      <c r="J12" s="8"/>
      <c r="K12" s="8"/>
      <c r="L12" s="8"/>
      <c r="M12" s="8"/>
      <c r="N12" s="8"/>
      <c r="O12" s="8"/>
      <c r="P12" s="8"/>
      <c r="Q12" s="8"/>
      <c r="R12" s="8"/>
      <c r="S12" s="8"/>
      <c r="T12" s="8"/>
      <c r="U12" s="8"/>
      <c r="V12" s="9"/>
    </row>
    <row r="13" spans="1:22" x14ac:dyDescent="0.3">
      <c r="D13" s="8"/>
      <c r="E13" s="8"/>
      <c r="F13" s="8"/>
      <c r="G13" s="8"/>
      <c r="H13" s="8"/>
      <c r="I13" s="8"/>
      <c r="J13" s="8"/>
      <c r="K13" s="8"/>
      <c r="L13" s="8"/>
      <c r="M13" s="8"/>
      <c r="N13" s="8"/>
      <c r="O13" s="8"/>
      <c r="P13" s="8"/>
      <c r="Q13" s="8"/>
      <c r="R13" s="8"/>
      <c r="S13" s="8"/>
      <c r="T13" s="8"/>
      <c r="U13" s="8"/>
      <c r="V13" s="9"/>
    </row>
    <row r="14" spans="1:22" x14ac:dyDescent="0.3">
      <c r="D14" s="8"/>
      <c r="E14" s="8"/>
      <c r="F14" s="8"/>
      <c r="G14" s="8"/>
      <c r="H14" s="8"/>
      <c r="I14" s="8"/>
      <c r="J14" s="8"/>
      <c r="K14" s="8"/>
      <c r="L14" s="8"/>
      <c r="M14" s="8"/>
      <c r="N14" s="8"/>
      <c r="O14" s="8"/>
      <c r="P14" s="8"/>
      <c r="Q14" s="8"/>
      <c r="R14" s="8"/>
      <c r="S14" s="8"/>
      <c r="T14" s="8"/>
      <c r="U14" s="8"/>
      <c r="V14" s="9"/>
    </row>
    <row r="15" spans="1:22" x14ac:dyDescent="0.3">
      <c r="D15" s="8"/>
      <c r="E15" s="8"/>
      <c r="F15" s="8"/>
      <c r="G15" s="8"/>
      <c r="H15" s="8"/>
      <c r="I15" s="8"/>
      <c r="J15" s="8"/>
      <c r="K15" s="8"/>
      <c r="L15" s="8"/>
      <c r="M15" s="8"/>
      <c r="N15" s="8"/>
      <c r="O15" s="8"/>
      <c r="P15" s="8"/>
      <c r="Q15" s="8"/>
      <c r="R15" s="8"/>
      <c r="S15" s="8"/>
      <c r="T15" s="8"/>
      <c r="U15" s="8"/>
      <c r="V15" s="9"/>
    </row>
    <row r="16" spans="1:22" x14ac:dyDescent="0.3">
      <c r="D16" s="8"/>
      <c r="E16" s="8"/>
      <c r="F16" s="8"/>
      <c r="G16" s="8"/>
      <c r="H16" s="8"/>
      <c r="I16" s="8"/>
      <c r="J16" s="8"/>
      <c r="K16" s="8"/>
      <c r="L16" s="8"/>
      <c r="M16" s="8"/>
      <c r="N16" s="8"/>
      <c r="O16" s="8"/>
      <c r="P16" s="8"/>
      <c r="Q16" s="8"/>
      <c r="R16" s="8"/>
      <c r="S16" s="8"/>
      <c r="T16" s="8"/>
      <c r="U16" s="8"/>
      <c r="V16" s="9"/>
    </row>
    <row r="17" spans="1:22" x14ac:dyDescent="0.3">
      <c r="D17" s="8"/>
      <c r="E17" s="8"/>
      <c r="F17" s="8"/>
      <c r="G17" s="8"/>
      <c r="H17" s="8"/>
      <c r="I17" s="8"/>
      <c r="J17" s="8"/>
      <c r="K17" s="8"/>
      <c r="L17" s="8"/>
      <c r="M17" s="8"/>
      <c r="N17" s="8"/>
      <c r="O17" s="8"/>
      <c r="P17" s="8"/>
      <c r="Q17" s="8"/>
      <c r="R17" s="8"/>
      <c r="S17" s="8"/>
      <c r="T17" s="8"/>
      <c r="U17" s="8"/>
      <c r="V17" s="9"/>
    </row>
    <row r="18" spans="1:22" x14ac:dyDescent="0.3">
      <c r="D18" s="8"/>
      <c r="E18" s="8"/>
      <c r="F18" s="8"/>
      <c r="G18" s="8"/>
      <c r="H18" s="8"/>
      <c r="I18" s="8"/>
      <c r="J18" s="8"/>
      <c r="K18" s="8"/>
      <c r="L18" s="8"/>
      <c r="M18" s="8"/>
      <c r="N18" s="8"/>
      <c r="O18" s="8"/>
      <c r="P18" s="8"/>
      <c r="Q18" s="8"/>
      <c r="R18" s="8"/>
      <c r="S18" s="8"/>
      <c r="T18" s="8"/>
      <c r="U18" s="8"/>
      <c r="V18" s="9"/>
    </row>
    <row r="19" spans="1:22" x14ac:dyDescent="0.3">
      <c r="A19" s="11" t="s">
        <v>52</v>
      </c>
      <c r="B19" s="11"/>
      <c r="D19" s="8"/>
      <c r="E19" s="8"/>
      <c r="F19" s="8"/>
      <c r="G19" s="8"/>
      <c r="H19" s="8"/>
      <c r="I19" s="8"/>
      <c r="J19" s="8"/>
      <c r="K19" s="8"/>
      <c r="L19" s="8"/>
      <c r="M19" s="8"/>
      <c r="N19" s="8"/>
      <c r="O19" s="8"/>
      <c r="P19" s="8"/>
      <c r="Q19" s="8"/>
      <c r="R19" s="8"/>
      <c r="S19" s="8"/>
      <c r="T19" s="8"/>
      <c r="U19" s="8"/>
      <c r="V19" s="9"/>
    </row>
    <row r="20" spans="1:22" x14ac:dyDescent="0.3">
      <c r="D20" s="8"/>
      <c r="E20" s="8"/>
      <c r="F20" s="8"/>
      <c r="G20" s="8"/>
      <c r="H20" s="8"/>
      <c r="I20" s="8"/>
      <c r="J20" s="8"/>
      <c r="K20" s="8"/>
      <c r="L20" s="8"/>
      <c r="M20" s="8"/>
      <c r="N20" s="8"/>
      <c r="O20" s="8"/>
      <c r="P20" s="8"/>
      <c r="Q20" s="8"/>
      <c r="R20" s="8"/>
      <c r="S20" s="8"/>
      <c r="T20" s="8"/>
      <c r="U20" s="8"/>
      <c r="V20" s="9"/>
    </row>
    <row r="21" spans="1:22" x14ac:dyDescent="0.3">
      <c r="A21" s="5" t="s">
        <v>36</v>
      </c>
      <c r="B21" t="s">
        <v>38</v>
      </c>
      <c r="D21" s="8"/>
      <c r="E21" s="8"/>
      <c r="F21" s="8"/>
      <c r="G21" s="8"/>
      <c r="H21" s="8"/>
      <c r="I21" s="8"/>
      <c r="J21" s="8"/>
      <c r="K21" s="8"/>
      <c r="L21" s="8"/>
      <c r="M21" s="8"/>
      <c r="N21" s="8"/>
      <c r="O21" s="8"/>
      <c r="P21" s="8"/>
      <c r="Q21" s="8"/>
      <c r="R21" s="8"/>
      <c r="S21" s="8"/>
      <c r="T21" s="8"/>
      <c r="U21" s="8"/>
      <c r="V21" s="9"/>
    </row>
    <row r="22" spans="1:22" x14ac:dyDescent="0.3">
      <c r="A22" s="6" t="s">
        <v>26</v>
      </c>
      <c r="B22" s="7">
        <v>670</v>
      </c>
      <c r="D22" s="8"/>
      <c r="E22" s="8"/>
      <c r="F22" s="8"/>
      <c r="G22" s="8"/>
      <c r="H22" s="8"/>
      <c r="I22" s="8"/>
      <c r="J22" s="8"/>
      <c r="K22" s="8"/>
      <c r="L22" s="8"/>
      <c r="M22" s="8"/>
      <c r="N22" s="8"/>
      <c r="O22" s="8"/>
      <c r="P22" s="8"/>
      <c r="Q22" s="8"/>
      <c r="R22" s="8"/>
      <c r="S22" s="8"/>
      <c r="T22" s="8"/>
      <c r="U22" s="8"/>
      <c r="V22" s="9"/>
    </row>
    <row r="23" spans="1:22" x14ac:dyDescent="0.3">
      <c r="A23" s="6" t="s">
        <v>34</v>
      </c>
      <c r="B23" s="7">
        <v>1320</v>
      </c>
      <c r="D23" s="8"/>
      <c r="E23" s="8"/>
      <c r="F23" s="8"/>
      <c r="G23" s="8"/>
      <c r="H23" s="8"/>
      <c r="I23" s="8"/>
      <c r="J23" s="8"/>
      <c r="K23" s="8"/>
      <c r="L23" s="8"/>
      <c r="M23" s="8"/>
      <c r="N23" s="8"/>
      <c r="O23" s="8"/>
      <c r="P23" s="8"/>
      <c r="Q23" s="8"/>
      <c r="R23" s="8"/>
      <c r="S23" s="8"/>
      <c r="T23" s="8"/>
      <c r="U23" s="8"/>
      <c r="V23" s="9"/>
    </row>
    <row r="24" spans="1:22" x14ac:dyDescent="0.3">
      <c r="A24" s="6" t="s">
        <v>29</v>
      </c>
      <c r="B24" s="7">
        <v>1030</v>
      </c>
      <c r="D24" s="8"/>
      <c r="E24" s="8"/>
      <c r="F24" s="8"/>
      <c r="G24" s="8"/>
      <c r="H24" s="8"/>
      <c r="I24" s="8"/>
      <c r="J24" s="8"/>
      <c r="K24" s="8"/>
      <c r="L24" s="8"/>
      <c r="M24" s="8"/>
      <c r="N24" s="8"/>
      <c r="O24" s="8"/>
      <c r="P24" s="8"/>
      <c r="Q24" s="8"/>
      <c r="R24" s="8"/>
      <c r="S24" s="8"/>
      <c r="T24" s="8"/>
      <c r="U24" s="8"/>
      <c r="V24" s="9"/>
    </row>
    <row r="25" spans="1:22" x14ac:dyDescent="0.3">
      <c r="A25" s="6" t="s">
        <v>24</v>
      </c>
      <c r="B25" s="7">
        <v>1100</v>
      </c>
      <c r="D25" s="8"/>
      <c r="E25" s="8"/>
      <c r="F25" s="8"/>
      <c r="G25" s="8"/>
      <c r="H25" s="8"/>
      <c r="I25" s="8"/>
      <c r="J25" s="8"/>
      <c r="K25" s="8"/>
      <c r="L25" s="8"/>
      <c r="M25" s="8"/>
      <c r="N25" s="8"/>
      <c r="O25" s="8"/>
      <c r="P25" s="8"/>
      <c r="Q25" s="8"/>
      <c r="R25" s="8"/>
      <c r="S25" s="8"/>
      <c r="T25" s="8"/>
      <c r="U25" s="8"/>
      <c r="V25" s="9"/>
    </row>
    <row r="26" spans="1:22" x14ac:dyDescent="0.3">
      <c r="A26" s="6" t="s">
        <v>20</v>
      </c>
      <c r="B26" s="7">
        <v>4070</v>
      </c>
      <c r="D26" s="8"/>
      <c r="E26" s="8"/>
      <c r="F26" s="8"/>
      <c r="G26" s="8"/>
      <c r="H26" s="8"/>
      <c r="I26" s="8"/>
      <c r="J26" s="8"/>
      <c r="K26" s="8"/>
      <c r="L26" s="8"/>
      <c r="M26" s="8"/>
      <c r="N26" s="8"/>
      <c r="O26" s="8"/>
      <c r="P26" s="8"/>
      <c r="Q26" s="8"/>
      <c r="R26" s="8"/>
      <c r="S26" s="8"/>
      <c r="T26" s="8"/>
      <c r="U26" s="8"/>
      <c r="V26" s="9"/>
    </row>
    <row r="27" spans="1:22" x14ac:dyDescent="0.3">
      <c r="A27" s="6" t="s">
        <v>28</v>
      </c>
      <c r="B27" s="7">
        <v>3850</v>
      </c>
      <c r="D27" s="8"/>
      <c r="E27" s="8"/>
      <c r="F27" s="8"/>
      <c r="G27" s="8"/>
      <c r="H27" s="8"/>
      <c r="I27" s="8"/>
      <c r="J27" s="8"/>
      <c r="K27" s="8"/>
      <c r="L27" s="8"/>
      <c r="M27" s="8"/>
      <c r="N27" s="8"/>
      <c r="O27" s="8"/>
      <c r="P27" s="8"/>
      <c r="Q27" s="8"/>
      <c r="R27" s="8"/>
      <c r="S27" s="8"/>
      <c r="T27" s="8"/>
      <c r="U27" s="8"/>
      <c r="V27" s="9"/>
    </row>
    <row r="28" spans="1:22" x14ac:dyDescent="0.3">
      <c r="A28" s="6" t="s">
        <v>15</v>
      </c>
      <c r="B28" s="7">
        <v>625</v>
      </c>
      <c r="D28" s="8"/>
      <c r="E28" s="8"/>
      <c r="F28" s="8"/>
      <c r="G28" s="8"/>
      <c r="H28" s="8"/>
      <c r="I28" s="8"/>
      <c r="J28" s="8"/>
      <c r="K28" s="8"/>
      <c r="L28" s="8"/>
      <c r="M28" s="8"/>
      <c r="N28" s="8"/>
      <c r="O28" s="8"/>
      <c r="P28" s="8"/>
      <c r="Q28" s="8"/>
      <c r="R28" s="8"/>
      <c r="S28" s="8"/>
      <c r="T28" s="8"/>
      <c r="U28" s="8"/>
      <c r="V28" s="9"/>
    </row>
    <row r="29" spans="1:22" x14ac:dyDescent="0.3">
      <c r="A29" s="6" t="s">
        <v>10</v>
      </c>
      <c r="B29" s="7">
        <v>12745</v>
      </c>
      <c r="D29" s="8"/>
      <c r="E29" s="8"/>
      <c r="F29" s="8"/>
      <c r="G29" s="8"/>
      <c r="H29" s="8"/>
      <c r="I29" s="8"/>
      <c r="J29" s="8"/>
      <c r="K29" s="8"/>
      <c r="L29" s="8"/>
      <c r="M29" s="8"/>
      <c r="N29" s="8"/>
      <c r="O29" s="8"/>
      <c r="P29" s="8"/>
      <c r="Q29" s="8"/>
      <c r="R29" s="8"/>
      <c r="S29" s="8"/>
      <c r="T29" s="8"/>
      <c r="U29" s="8"/>
      <c r="V29" s="9"/>
    </row>
    <row r="30" spans="1:22" x14ac:dyDescent="0.3">
      <c r="A30" s="6" t="s">
        <v>37</v>
      </c>
      <c r="B30" s="7">
        <v>25410</v>
      </c>
      <c r="D30" s="8"/>
      <c r="E30" s="8"/>
      <c r="F30" s="8"/>
      <c r="G30" s="8"/>
      <c r="H30" s="8"/>
      <c r="I30" s="8"/>
      <c r="J30" s="8"/>
      <c r="K30" s="8"/>
      <c r="L30" s="8"/>
      <c r="M30" s="8"/>
      <c r="N30" s="8"/>
      <c r="O30" s="8"/>
      <c r="P30" s="8"/>
      <c r="Q30" s="8"/>
      <c r="R30" s="8"/>
      <c r="S30" s="8"/>
      <c r="T30" s="8"/>
      <c r="U30" s="8"/>
      <c r="V30" s="9"/>
    </row>
    <row r="37" spans="1:2" x14ac:dyDescent="0.3">
      <c r="A37" s="11" t="s">
        <v>53</v>
      </c>
      <c r="B37" s="11"/>
    </row>
    <row r="39" spans="1:2" x14ac:dyDescent="0.3">
      <c r="A39" s="5" t="s">
        <v>36</v>
      </c>
      <c r="B39" t="s">
        <v>39</v>
      </c>
    </row>
    <row r="40" spans="1:2" x14ac:dyDescent="0.3">
      <c r="A40" s="6" t="s">
        <v>40</v>
      </c>
      <c r="B40" s="7">
        <v>600</v>
      </c>
    </row>
    <row r="41" spans="1:2" x14ac:dyDescent="0.3">
      <c r="A41" s="6" t="s">
        <v>41</v>
      </c>
      <c r="B41" s="7">
        <v>520</v>
      </c>
    </row>
    <row r="42" spans="1:2" x14ac:dyDescent="0.3">
      <c r="A42" s="6" t="s">
        <v>42</v>
      </c>
      <c r="B42" s="7">
        <v>230</v>
      </c>
    </row>
    <row r="43" spans="1:2" x14ac:dyDescent="0.3">
      <c r="A43" s="6" t="s">
        <v>43</v>
      </c>
      <c r="B43" s="7">
        <v>400</v>
      </c>
    </row>
    <row r="44" spans="1:2" x14ac:dyDescent="0.3">
      <c r="A44" s="6" t="s">
        <v>44</v>
      </c>
      <c r="B44" s="7">
        <v>1000</v>
      </c>
    </row>
    <row r="45" spans="1:2" x14ac:dyDescent="0.3">
      <c r="A45" s="6" t="s">
        <v>45</v>
      </c>
      <c r="B45" s="7">
        <v>160</v>
      </c>
    </row>
    <row r="46" spans="1:2" x14ac:dyDescent="0.3">
      <c r="A46" s="6" t="s">
        <v>46</v>
      </c>
      <c r="B46" s="7">
        <v>590</v>
      </c>
    </row>
    <row r="47" spans="1:2" x14ac:dyDescent="0.3">
      <c r="A47" s="6" t="s">
        <v>47</v>
      </c>
      <c r="B47" s="7">
        <v>517</v>
      </c>
    </row>
    <row r="48" spans="1:2" x14ac:dyDescent="0.3">
      <c r="A48" s="6" t="s">
        <v>48</v>
      </c>
      <c r="B48" s="7">
        <v>205</v>
      </c>
    </row>
    <row r="49" spans="1:2" x14ac:dyDescent="0.3">
      <c r="A49" s="6" t="s">
        <v>49</v>
      </c>
      <c r="B49" s="7">
        <v>430</v>
      </c>
    </row>
    <row r="50" spans="1:2" x14ac:dyDescent="0.3">
      <c r="A50" s="6" t="s">
        <v>50</v>
      </c>
      <c r="B50" s="7">
        <v>280</v>
      </c>
    </row>
    <row r="51" spans="1:2" x14ac:dyDescent="0.3">
      <c r="A51" s="6" t="s">
        <v>51</v>
      </c>
      <c r="B51" s="7">
        <v>320</v>
      </c>
    </row>
    <row r="52" spans="1:2" x14ac:dyDescent="0.3">
      <c r="A52" s="6" t="s">
        <v>37</v>
      </c>
      <c r="B52" s="7">
        <v>5252</v>
      </c>
    </row>
  </sheetData>
  <mergeCells count="3">
    <mergeCell ref="A19:B19"/>
    <mergeCell ref="A37:B37"/>
    <mergeCell ref="A1:B1"/>
  </mergeCells>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Anudip1</dc:creator>
  <cp:lastModifiedBy>Harshali Bhopale</cp:lastModifiedBy>
  <dcterms:created xsi:type="dcterms:W3CDTF">2025-12-03T05:20:01Z</dcterms:created>
  <dcterms:modified xsi:type="dcterms:W3CDTF">2026-02-13T15:50:40Z</dcterms:modified>
</cp:coreProperties>
</file>