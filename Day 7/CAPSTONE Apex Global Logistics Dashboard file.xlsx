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Anudeep\Excel\Day 7\"/>
    </mc:Choice>
  </mc:AlternateContent>
  <xr:revisionPtr revIDLastSave="0" documentId="8_{E9D0D83D-6B18-4E99-83D7-FB05778BFE52}" xr6:coauthVersionLast="47" xr6:coauthVersionMax="47" xr10:uidLastSave="{00000000-0000-0000-0000-000000000000}"/>
  <bookViews>
    <workbookView xWindow="-108" yWindow="-108" windowWidth="23256" windowHeight="12456" firstSheet="2" activeTab="4" xr2:uid="{6A530EA4-CBD9-45E0-831F-C19BE4B00478}"/>
  </bookViews>
  <sheets>
    <sheet name="Raw_orders" sheetId="1" r:id="rId1"/>
    <sheet name="Product_Master" sheetId="2" r:id="rId2"/>
    <sheet name="Customer_database" sheetId="3" r:id="rId3"/>
    <sheet name="Report" sheetId="4" r:id="rId4"/>
    <sheet name="Visualization" sheetId="5" r:id="rId5"/>
  </sheets>
  <definedNames>
    <definedName name="NativeTimeline_Date">#N/A</definedName>
    <definedName name="Slicer_Category">#N/A</definedName>
  </definedNames>
  <calcPr calcId="191029"/>
  <pivotCaches>
    <pivotCache cacheId="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7" i="1" l="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R2" i="1"/>
  <c r="R3" i="1"/>
  <c r="R4" i="1"/>
  <c r="R5" i="1"/>
  <c r="R6"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2" i="1"/>
  <c r="P3" i="1"/>
  <c r="P5" i="1"/>
  <c r="P11" i="1"/>
  <c r="P19" i="1"/>
  <c r="P27" i="1"/>
  <c r="P35" i="1"/>
  <c r="P43" i="1"/>
  <c r="O4" i="1"/>
  <c r="O6" i="1"/>
  <c r="O8" i="1"/>
  <c r="O12" i="1"/>
  <c r="O14" i="1"/>
  <c r="O16" i="1"/>
  <c r="O20" i="1"/>
  <c r="O22" i="1"/>
  <c r="O24" i="1"/>
  <c r="O28" i="1"/>
  <c r="O30" i="1"/>
  <c r="O32" i="1"/>
  <c r="O36" i="1"/>
  <c r="O38" i="1"/>
  <c r="O40" i="1"/>
  <c r="O44" i="1"/>
  <c r="O46"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2" i="1"/>
  <c r="L3" i="1"/>
  <c r="O3" i="1" s="1"/>
  <c r="L4" i="1"/>
  <c r="P4" i="1" s="1"/>
  <c r="L5" i="1"/>
  <c r="O5" i="1" s="1"/>
  <c r="L6" i="1"/>
  <c r="P6" i="1" s="1"/>
  <c r="L7" i="1"/>
  <c r="O7" i="1" s="1"/>
  <c r="L8" i="1"/>
  <c r="P8" i="1" s="1"/>
  <c r="L9" i="1"/>
  <c r="O9" i="1" s="1"/>
  <c r="L10" i="1"/>
  <c r="O10" i="1" s="1"/>
  <c r="L11" i="1"/>
  <c r="O11" i="1" s="1"/>
  <c r="L12" i="1"/>
  <c r="P12" i="1" s="1"/>
  <c r="L13" i="1"/>
  <c r="P13" i="1" s="1"/>
  <c r="L14" i="1"/>
  <c r="P14" i="1" s="1"/>
  <c r="L15" i="1"/>
  <c r="O15" i="1" s="1"/>
  <c r="L16" i="1"/>
  <c r="P16" i="1" s="1"/>
  <c r="L17" i="1"/>
  <c r="O17" i="1" s="1"/>
  <c r="L18" i="1"/>
  <c r="O18" i="1" s="1"/>
  <c r="L19" i="1"/>
  <c r="O19" i="1" s="1"/>
  <c r="L20" i="1"/>
  <c r="P20" i="1" s="1"/>
  <c r="L21" i="1"/>
  <c r="P21" i="1" s="1"/>
  <c r="L22" i="1"/>
  <c r="P22" i="1" s="1"/>
  <c r="L23" i="1"/>
  <c r="O23" i="1" s="1"/>
  <c r="L24" i="1"/>
  <c r="P24" i="1" s="1"/>
  <c r="L25" i="1"/>
  <c r="O25" i="1" s="1"/>
  <c r="L26" i="1"/>
  <c r="O26" i="1" s="1"/>
  <c r="L27" i="1"/>
  <c r="O27" i="1" s="1"/>
  <c r="L28" i="1"/>
  <c r="P28" i="1" s="1"/>
  <c r="L29" i="1"/>
  <c r="P29" i="1" s="1"/>
  <c r="L30" i="1"/>
  <c r="P30" i="1" s="1"/>
  <c r="L31" i="1"/>
  <c r="O31" i="1" s="1"/>
  <c r="L32" i="1"/>
  <c r="P32" i="1" s="1"/>
  <c r="L33" i="1"/>
  <c r="O33" i="1" s="1"/>
  <c r="L34" i="1"/>
  <c r="O34" i="1" s="1"/>
  <c r="L35" i="1"/>
  <c r="O35" i="1" s="1"/>
  <c r="L36" i="1"/>
  <c r="P36" i="1" s="1"/>
  <c r="L37" i="1"/>
  <c r="P37" i="1" s="1"/>
  <c r="L38" i="1"/>
  <c r="P38" i="1" s="1"/>
  <c r="L39" i="1"/>
  <c r="O39" i="1" s="1"/>
  <c r="L40" i="1"/>
  <c r="P40" i="1" s="1"/>
  <c r="L41" i="1"/>
  <c r="O41" i="1" s="1"/>
  <c r="L42" i="1"/>
  <c r="O42" i="1" s="1"/>
  <c r="L43" i="1"/>
  <c r="O43" i="1" s="1"/>
  <c r="L44" i="1"/>
  <c r="P44" i="1" s="1"/>
  <c r="L45" i="1"/>
  <c r="P45" i="1" s="1"/>
  <c r="L46" i="1"/>
  <c r="P46" i="1" s="1"/>
  <c r="L2" i="1"/>
  <c r="O2" i="1"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2" i="1"/>
  <c r="E3" i="3"/>
  <c r="E4" i="3"/>
  <c r="E5" i="3"/>
  <c r="E6" i="3"/>
  <c r="E7" i="3"/>
  <c r="E8" i="3"/>
  <c r="E9" i="3"/>
  <c r="E10" i="3"/>
  <c r="E11" i="3"/>
  <c r="E2" i="3"/>
  <c r="O45" i="1" l="1"/>
  <c r="O37" i="1"/>
  <c r="O29" i="1"/>
  <c r="O21" i="1"/>
  <c r="O13" i="1"/>
  <c r="P42" i="1"/>
  <c r="P34" i="1"/>
  <c r="P26" i="1"/>
  <c r="P18" i="1"/>
  <c r="P10" i="1"/>
  <c r="P33" i="1"/>
  <c r="P25" i="1"/>
  <c r="P9" i="1"/>
  <c r="P41" i="1"/>
  <c r="P17" i="1"/>
  <c r="P2" i="1"/>
  <c r="P39" i="1"/>
  <c r="P31" i="1"/>
  <c r="P23" i="1"/>
  <c r="P15" i="1"/>
  <c r="P7" i="1"/>
</calcChain>
</file>

<file path=xl/sharedStrings.xml><?xml version="1.0" encoding="utf-8"?>
<sst xmlns="http://schemas.openxmlformats.org/spreadsheetml/2006/main" count="352" uniqueCount="125">
  <si>
    <t>OrderID</t>
  </si>
  <si>
    <t>Date</t>
  </si>
  <si>
    <t>Cust_ID</t>
  </si>
  <si>
    <t>Prod_ID</t>
  </si>
  <si>
    <t>Qty</t>
  </si>
  <si>
    <t>Ship_Date</t>
  </si>
  <si>
    <t>Region</t>
  </si>
  <si>
    <t>Promo_Code</t>
  </si>
  <si>
    <t>ORD-24-1001</t>
  </si>
  <si>
    <t>C-001</t>
  </si>
  <si>
    <t>P-500</t>
  </si>
  <si>
    <t>North</t>
  </si>
  <si>
    <t>WELCOME10</t>
  </si>
  <si>
    <t>ORD-24-1002</t>
  </si>
  <si>
    <t>C-003</t>
  </si>
  <si>
    <t>P-502</t>
  </si>
  <si>
    <t>West</t>
  </si>
  <si>
    <t>ORD-24-1003</t>
  </si>
  <si>
    <t>C-002</t>
  </si>
  <si>
    <t>P-501</t>
  </si>
  <si>
    <t>East</t>
  </si>
  <si>
    <t>BULK25</t>
  </si>
  <si>
    <t>ORD-24-1004</t>
  </si>
  <si>
    <t>C-005</t>
  </si>
  <si>
    <t>P-505</t>
  </si>
  <si>
    <t>ORD-24-1005</t>
  </si>
  <si>
    <t>FREESHIP</t>
  </si>
  <si>
    <t>ORD-24-1006</t>
  </si>
  <si>
    <t>C-004</t>
  </si>
  <si>
    <t>P-503</t>
  </si>
  <si>
    <t>South</t>
  </si>
  <si>
    <t>ORD-24-1007</t>
  </si>
  <si>
    <t>C-006</t>
  </si>
  <si>
    <t>P-504</t>
  </si>
  <si>
    <t>ORD-24-1008</t>
  </si>
  <si>
    <t>ORD-24-1009</t>
  </si>
  <si>
    <t>C-008</t>
  </si>
  <si>
    <t>LATE_SORRY</t>
  </si>
  <si>
    <t>ORD-24-1010</t>
  </si>
  <si>
    <t>ORD-24-1011</t>
  </si>
  <si>
    <t>C-009</t>
  </si>
  <si>
    <t>BULK_VIP</t>
  </si>
  <si>
    <t>ORD-24-1012</t>
  </si>
  <si>
    <t>C-007</t>
  </si>
  <si>
    <t>ORD-24-1013</t>
  </si>
  <si>
    <t>C-010</t>
  </si>
  <si>
    <t>ORD-24-1014</t>
  </si>
  <si>
    <t>ORD-24-1015</t>
  </si>
  <si>
    <t>Product_Name</t>
  </si>
  <si>
    <t>Category</t>
  </si>
  <si>
    <t>Unit_Cost</t>
  </si>
  <si>
    <t>Unit_Price</t>
  </si>
  <si>
    <t>Supplier</t>
  </si>
  <si>
    <t>Wireless Mouse X1</t>
  </si>
  <si>
    <t>Electronics</t>
  </si>
  <si>
    <t>TechGiant</t>
  </si>
  <si>
    <t>Mech Keyboard RGB</t>
  </si>
  <si>
    <t>KeyWorld</t>
  </si>
  <si>
    <t>Ergo Office Chair</t>
  </si>
  <si>
    <t>Furniture</t>
  </si>
  <si>
    <t>SitRight</t>
  </si>
  <si>
    <t>Oak Standing Desk</t>
  </si>
  <si>
    <t>WoodWorks</t>
  </si>
  <si>
    <t>Smart LED Lamp</t>
  </si>
  <si>
    <t>Home Decor</t>
  </si>
  <si>
    <t>BrightLite</t>
  </si>
  <si>
    <t>Dual Monitor Arm</t>
  </si>
  <si>
    <t>P-999</t>
  </si>
  <si>
    <t>Extended Warranty</t>
  </si>
  <si>
    <t>Services</t>
  </si>
  <si>
    <t>ApexLogistics</t>
  </si>
  <si>
    <t>Customer_Raw_Name</t>
  </si>
  <si>
    <t>Email_Address</t>
  </si>
  <si>
    <t>Membership_Tier</t>
  </si>
  <si>
    <t>john smith</t>
  </si>
  <si>
    <t>j.smith@gmail.com</t>
  </si>
  <si>
    <t>Gold</t>
  </si>
  <si>
    <t xml:space="preserve">  SARAH CONNOR  </t>
  </si>
  <si>
    <t>s.connor@skynet.org</t>
  </si>
  <si>
    <t>Silver</t>
  </si>
  <si>
    <t>emily blunt</t>
  </si>
  <si>
    <t>e.blunt@studio.net</t>
  </si>
  <si>
    <t>Bronze</t>
  </si>
  <si>
    <t>MICHAEL scott</t>
  </si>
  <si>
    <t>m.scott@paperco.com</t>
  </si>
  <si>
    <t>dwight Schrute</t>
  </si>
  <si>
    <t>beets@farms.com</t>
  </si>
  <si>
    <t>jim HALPERT</t>
  </si>
  <si>
    <t>jim@paperco.com</t>
  </si>
  <si>
    <t>pam beesly</t>
  </si>
  <si>
    <t>art@paperco.com</t>
  </si>
  <si>
    <t>ryan howard</t>
  </si>
  <si>
    <t>temp@agency.com</t>
  </si>
  <si>
    <t>Creed Bratton</t>
  </si>
  <si>
    <t>unknown@unknown.com</t>
  </si>
  <si>
    <t>stanley hudson</t>
  </si>
  <si>
    <t>crossword@paperco.com</t>
  </si>
  <si>
    <t>Clean_name</t>
  </si>
  <si>
    <t>Domain_name</t>
  </si>
  <si>
    <t>gmail.com</t>
  </si>
  <si>
    <t>skynet.org</t>
  </si>
  <si>
    <t>studio.net</t>
  </si>
  <si>
    <t>paperco.com</t>
  </si>
  <si>
    <t>farms.com</t>
  </si>
  <si>
    <t>agency.com</t>
  </si>
  <si>
    <t>unknown.com</t>
  </si>
  <si>
    <t>Product_name</t>
  </si>
  <si>
    <t>Unit_cost</t>
  </si>
  <si>
    <t>Unit_price</t>
  </si>
  <si>
    <t>Membership_tier</t>
  </si>
  <si>
    <t>Total_Revenue</t>
  </si>
  <si>
    <t>Total_Profit</t>
  </si>
  <si>
    <t>Days_to_ship</t>
  </si>
  <si>
    <t>Status</t>
  </si>
  <si>
    <t>Remark</t>
  </si>
  <si>
    <t>Promo_valid?</t>
  </si>
  <si>
    <t>Row Labels</t>
  </si>
  <si>
    <t>Grand Total</t>
  </si>
  <si>
    <t>Sum of Total_Revenue</t>
  </si>
  <si>
    <t>Late</t>
  </si>
  <si>
    <t>On-time</t>
  </si>
  <si>
    <t>CRITICAL DELAY</t>
  </si>
  <si>
    <t>Count of Remark</t>
  </si>
  <si>
    <t>NORMAL</t>
  </si>
  <si>
    <t>Count of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</si>
</sst>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1" x14ac:knownFonts="1">
    <font>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xf>
    <xf numFmtId="14" fontId="0" fillId="0" borderId="0" xfId="0" applyNumberFormat="1" applyAlignment="1">
      <alignment horizontal="center"/>
    </xf>
    <xf numFmtId="164" fontId="0" fillId="0" borderId="0" xfId="0" applyNumberFormat="1"/>
    <xf numFmtId="16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cellXfs>
  <cellStyles count="1">
    <cellStyle name="Normal" xfId="0" builtinId="0"/>
  </cellStyles>
  <dxfs count="3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164" formatCode="_-[$$-409]* #,##0.00_ ;_-[$$-409]* \-#,##0.00\ ;_-[$$-409]* &quot;-&quot;??_ ;_-@_ "/>
    </dxf>
    <dxf>
      <numFmt numFmtId="164" formatCode="_-[$$-409]* #,##0.00_ ;_-[$$-409]* \-#,##0.00\ ;_-[$$-409]* &quot;-&quot;??_ ;_-@_ "/>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numFmt numFmtId="164" formatCode="_-[$$-409]* #,##0.00_ ;_-[$$-409]* \-#,##0.00\ ;_-[$$-409]* &quot;-&quot;??_ ;_-@_ "/>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Apex Global Logistics Dashboard Sir file.xlsx]Report!PivotTable1</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Report!$A$2:$A$8</c:f>
              <c:strCache>
                <c:ptCount val="6"/>
                <c:pt idx="0">
                  <c:v>Dual Monitor Arm</c:v>
                </c:pt>
                <c:pt idx="1">
                  <c:v>Ergo Office Chair</c:v>
                </c:pt>
                <c:pt idx="2">
                  <c:v>Mech Keyboard RGB</c:v>
                </c:pt>
                <c:pt idx="3">
                  <c:v>Oak Standing Desk</c:v>
                </c:pt>
                <c:pt idx="4">
                  <c:v>Smart LED Lamp</c:v>
                </c:pt>
                <c:pt idx="5">
                  <c:v>Wireless Mouse X1</c:v>
                </c:pt>
              </c:strCache>
            </c:strRef>
          </c:cat>
          <c:val>
            <c:numRef>
              <c:f>Report!$B$2:$B$8</c:f>
              <c:numCache>
                <c:formatCode>_-[$$-409]* #,##0.00_ ;_-[$$-409]* \-#,##0.00\ ;_-[$$-409]* "-"??_ ;_-@_ </c:formatCode>
                <c:ptCount val="6"/>
                <c:pt idx="0">
                  <c:v>675</c:v>
                </c:pt>
                <c:pt idx="1">
                  <c:v>4499.82</c:v>
                </c:pt>
                <c:pt idx="2">
                  <c:v>8189.37</c:v>
                </c:pt>
                <c:pt idx="3">
                  <c:v>6750</c:v>
                </c:pt>
                <c:pt idx="4">
                  <c:v>675</c:v>
                </c:pt>
                <c:pt idx="5">
                  <c:v>3119.22</c:v>
                </c:pt>
              </c:numCache>
            </c:numRef>
          </c:val>
          <c:extLst>
            <c:ext xmlns:c16="http://schemas.microsoft.com/office/drawing/2014/chart" uri="{C3380CC4-5D6E-409C-BE32-E72D297353CC}">
              <c16:uniqueId val="{00000000-9FA2-4BA2-8F3C-76826ACC0211}"/>
            </c:ext>
          </c:extLst>
        </c:ser>
        <c:dLbls>
          <c:dLblPos val="outEnd"/>
          <c:showLegendKey val="0"/>
          <c:showVal val="1"/>
          <c:showCatName val="0"/>
          <c:showSerName val="0"/>
          <c:showPercent val="0"/>
          <c:showBubbleSize val="0"/>
        </c:dLbls>
        <c:gapWidth val="65"/>
        <c:axId val="827245951"/>
        <c:axId val="827246431"/>
      </c:barChart>
      <c:catAx>
        <c:axId val="82724595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27246431"/>
        <c:crosses val="autoZero"/>
        <c:auto val="1"/>
        <c:lblAlgn val="ctr"/>
        <c:lblOffset val="100"/>
        <c:noMultiLvlLbl val="0"/>
      </c:catAx>
      <c:valAx>
        <c:axId val="827246431"/>
        <c:scaling>
          <c:orientation val="minMax"/>
        </c:scaling>
        <c:delete val="1"/>
        <c:axPos val="b"/>
        <c:numFmt formatCode="_-[$$-409]* #,##0.00_ ;_-[$$-409]* \-#,##0.00\ ;_-[$$-409]* &quot;-&quot;??_ ;_-@_ " sourceLinked="1"/>
        <c:majorTickMark val="none"/>
        <c:minorTickMark val="none"/>
        <c:tickLblPos val="nextTo"/>
        <c:crossAx val="82724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Apex Global Logistics Dashboard Sir file.xlsx]Report!PivotTable2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Number of critical delays per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Report!$G$1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Report!$F$2:$F$11</c:f>
              <c:multiLvlStrCache>
                <c:ptCount val="5"/>
                <c:lvl>
                  <c:pt idx="0">
                    <c:v>NORMAL</c:v>
                  </c:pt>
                  <c:pt idx="1">
                    <c:v>CRITICAL DELAY</c:v>
                  </c:pt>
                  <c:pt idx="2">
                    <c:v>NORMAL</c:v>
                  </c:pt>
                  <c:pt idx="3">
                    <c:v>NORMAL</c:v>
                  </c:pt>
                  <c:pt idx="4">
                    <c:v>NORMAL</c:v>
                  </c:pt>
                </c:lvl>
                <c:lvl>
                  <c:pt idx="0">
                    <c:v>East</c:v>
                  </c:pt>
                  <c:pt idx="1">
                    <c:v>North</c:v>
                  </c:pt>
                  <c:pt idx="3">
                    <c:v>South</c:v>
                  </c:pt>
                  <c:pt idx="4">
                    <c:v>West</c:v>
                  </c:pt>
                </c:lvl>
              </c:multiLvlStrCache>
            </c:multiLvlStrRef>
          </c:cat>
          <c:val>
            <c:numRef>
              <c:f>Report!$G$2:$G$11</c:f>
              <c:numCache>
                <c:formatCode>General</c:formatCode>
                <c:ptCount val="5"/>
                <c:pt idx="0">
                  <c:v>9</c:v>
                </c:pt>
                <c:pt idx="1">
                  <c:v>1</c:v>
                </c:pt>
                <c:pt idx="2">
                  <c:v>17</c:v>
                </c:pt>
                <c:pt idx="3">
                  <c:v>9</c:v>
                </c:pt>
                <c:pt idx="4">
                  <c:v>9</c:v>
                </c:pt>
              </c:numCache>
            </c:numRef>
          </c:val>
          <c:extLst>
            <c:ext xmlns:c16="http://schemas.microsoft.com/office/drawing/2014/chart" uri="{C3380CC4-5D6E-409C-BE32-E72D297353CC}">
              <c16:uniqueId val="{00000000-A73B-4F41-AB7A-93C865D981D3}"/>
            </c:ext>
          </c:extLst>
        </c:ser>
        <c:dLbls>
          <c:dLblPos val="inEnd"/>
          <c:showLegendKey val="0"/>
          <c:showVal val="1"/>
          <c:showCatName val="0"/>
          <c:showSerName val="0"/>
          <c:showPercent val="0"/>
          <c:showBubbleSize val="0"/>
        </c:dLbls>
        <c:gapWidth val="65"/>
        <c:axId val="1090678415"/>
        <c:axId val="1090662095"/>
      </c:barChart>
      <c:catAx>
        <c:axId val="10906784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0662095"/>
        <c:crosses val="autoZero"/>
        <c:auto val="1"/>
        <c:lblAlgn val="ctr"/>
        <c:lblOffset val="100"/>
        <c:noMultiLvlLbl val="0"/>
      </c:catAx>
      <c:valAx>
        <c:axId val="1090662095"/>
        <c:scaling>
          <c:orientation val="minMax"/>
        </c:scaling>
        <c:delete val="1"/>
        <c:axPos val="l"/>
        <c:numFmt formatCode="General" sourceLinked="1"/>
        <c:majorTickMark val="none"/>
        <c:minorTickMark val="none"/>
        <c:tickLblPos val="nextTo"/>
        <c:crossAx val="109067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Apex Global Logistics Dashboard Sir file.xlsx]Report!PivotTable3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Membership %</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Report!$K$1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190-494D-BBC5-061EF08BD63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190-494D-BBC5-061EF08BD63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190-494D-BBC5-061EF08BD63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Report!$J$2:$J$5</c:f>
              <c:strCache>
                <c:ptCount val="3"/>
                <c:pt idx="0">
                  <c:v>Bronze</c:v>
                </c:pt>
                <c:pt idx="1">
                  <c:v>Gold</c:v>
                </c:pt>
                <c:pt idx="2">
                  <c:v>Silver</c:v>
                </c:pt>
              </c:strCache>
            </c:strRef>
          </c:cat>
          <c:val>
            <c:numRef>
              <c:f>Report!$K$2:$K$5</c:f>
              <c:numCache>
                <c:formatCode>_-[$$-409]* #,##0.00_ ;_-[$$-409]* \-#,##0.00\ ;_-[$$-409]* "-"??_ ;_-@_ </c:formatCode>
                <c:ptCount val="3"/>
                <c:pt idx="0">
                  <c:v>3014.9100000000003</c:v>
                </c:pt>
                <c:pt idx="1">
                  <c:v>9119.07</c:v>
                </c:pt>
                <c:pt idx="2">
                  <c:v>11774.430000000002</c:v>
                </c:pt>
              </c:numCache>
            </c:numRef>
          </c:val>
          <c:extLst>
            <c:ext xmlns:c16="http://schemas.microsoft.com/office/drawing/2014/chart" uri="{C3380CC4-5D6E-409C-BE32-E72D297353CC}">
              <c16:uniqueId val="{00000006-E190-494D-BBC5-061EF08BD63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Apex Global Logistics Dashboard Sir file.xlsx]Report!PivotTable4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Report!$K$9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387-436D-8AF1-FAA55F47ED0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387-436D-8AF1-FAA55F47ED0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387-436D-8AF1-FAA55F47ED0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Report!$J$10:$J$13</c:f>
              <c:strCache>
                <c:ptCount val="3"/>
                <c:pt idx="0">
                  <c:v>Electronics</c:v>
                </c:pt>
                <c:pt idx="1">
                  <c:v>Furniture</c:v>
                </c:pt>
                <c:pt idx="2">
                  <c:v>Home Decor</c:v>
                </c:pt>
              </c:strCache>
            </c:strRef>
          </c:cat>
          <c:val>
            <c:numRef>
              <c:f>Report!$K$10:$K$13</c:f>
              <c:numCache>
                <c:formatCode>_-[$$-409]* #,##0.00_ ;_-[$$-409]* \-#,##0.00\ ;_-[$$-409]* "-"??_ ;_-@_ </c:formatCode>
                <c:ptCount val="3"/>
                <c:pt idx="0">
                  <c:v>11983.590000000002</c:v>
                </c:pt>
                <c:pt idx="1">
                  <c:v>11249.819999999998</c:v>
                </c:pt>
                <c:pt idx="2">
                  <c:v>675</c:v>
                </c:pt>
              </c:numCache>
            </c:numRef>
          </c:val>
          <c:extLst>
            <c:ext xmlns:c16="http://schemas.microsoft.com/office/drawing/2014/chart" uri="{C3380CC4-5D6E-409C-BE32-E72D297353CC}">
              <c16:uniqueId val="{00000006-B387-436D-8AF1-FAA55F47ED0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Apex Global Logistics Dashboard Sir file.xlsx]Report!PivotTable5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Status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Report!$C$14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C80-42DA-846B-B16C82BC9DE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C80-42DA-846B-B16C82BC9DE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Report!$B$15:$B$17</c:f>
              <c:strCache>
                <c:ptCount val="2"/>
                <c:pt idx="0">
                  <c:v>Late</c:v>
                </c:pt>
                <c:pt idx="1">
                  <c:v>On-time</c:v>
                </c:pt>
              </c:strCache>
            </c:strRef>
          </c:cat>
          <c:val>
            <c:numRef>
              <c:f>Report!$C$15:$C$17</c:f>
              <c:numCache>
                <c:formatCode>General</c:formatCode>
                <c:ptCount val="2"/>
                <c:pt idx="0">
                  <c:v>16</c:v>
                </c:pt>
                <c:pt idx="1">
                  <c:v>29</c:v>
                </c:pt>
              </c:numCache>
            </c:numRef>
          </c:val>
          <c:extLst>
            <c:ext xmlns:c16="http://schemas.microsoft.com/office/drawing/2014/chart" uri="{C3380CC4-5D6E-409C-BE32-E72D297353CC}">
              <c16:uniqueId val="{00000004-8C80-42DA-846B-B16C82BC9DE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22</xdr:col>
      <xdr:colOff>266251</xdr:colOff>
      <xdr:row>0</xdr:row>
      <xdr:rowOff>154648</xdr:rowOff>
    </xdr:from>
    <xdr:to>
      <xdr:col>34</xdr:col>
      <xdr:colOff>463101</xdr:colOff>
      <xdr:row>48</xdr:row>
      <xdr:rowOff>64456</xdr:rowOff>
    </xdr:to>
    <xdr:sp macro="" textlink="">
      <xdr:nvSpPr>
        <xdr:cNvPr id="2" name="TextBox 1">
          <a:extLst>
            <a:ext uri="{FF2B5EF4-FFF2-40B4-BE49-F238E27FC236}">
              <a16:creationId xmlns:a16="http://schemas.microsoft.com/office/drawing/2014/main" id="{428AA2C1-3196-D29F-0A05-860DAC3AD83A}"/>
            </a:ext>
          </a:extLst>
        </xdr:cNvPr>
        <xdr:cNvSpPr txBox="1"/>
      </xdr:nvSpPr>
      <xdr:spPr>
        <a:xfrm>
          <a:off x="14590278" y="154648"/>
          <a:ext cx="7479681" cy="88110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CAPSTONE PROJECT: Apex Global Logistics Dashboard</a:t>
          </a:r>
        </a:p>
        <a:p>
          <a:r>
            <a:rPr lang="en-IN" b="1"/>
            <a:t>Role:</a:t>
          </a:r>
          <a:r>
            <a:rPr lang="en-IN"/>
            <a:t> Junior Data Analyst</a:t>
          </a:r>
        </a:p>
        <a:p>
          <a:r>
            <a:rPr lang="en-IN" b="1"/>
            <a:t>Company:</a:t>
          </a:r>
          <a:r>
            <a:rPr lang="en-IN"/>
            <a:t> Apex Global Logistics</a:t>
          </a:r>
        </a:p>
        <a:p>
          <a:r>
            <a:rPr lang="en-IN" b="1"/>
            <a:t>Tools:</a:t>
          </a:r>
          <a:r>
            <a:rPr lang="en-IN"/>
            <a:t> Microsoft Excel (Advanced)</a:t>
          </a:r>
        </a:p>
        <a:p>
          <a:r>
            <a:rPr lang="en-IN" b="1"/>
            <a:t>1. The Scenario</a:t>
          </a:r>
        </a:p>
        <a:p>
          <a:r>
            <a:rPr lang="en-IN"/>
            <a:t>You have just joined the Supply Chain team at Apex Global. The Sales Director has emailed you three raw data files exported from the company's legacy systems:</a:t>
          </a:r>
        </a:p>
        <a:p>
          <a:r>
            <a:rPr lang="en-IN" b="1"/>
            <a:t>Raw_Orders:</a:t>
          </a:r>
          <a:r>
            <a:rPr lang="en-IN"/>
            <a:t> A transactional list of recent shipments.</a:t>
          </a:r>
        </a:p>
        <a:p>
          <a:r>
            <a:rPr lang="en-IN" b="1"/>
            <a:t>Product_Master:</a:t>
          </a:r>
          <a:r>
            <a:rPr lang="en-IN"/>
            <a:t> A price list of all items.</a:t>
          </a:r>
        </a:p>
        <a:p>
          <a:r>
            <a:rPr lang="en-IN" b="1"/>
            <a:t>Customer_Database:</a:t>
          </a:r>
          <a:r>
            <a:rPr lang="en-IN"/>
            <a:t> A contact list that was manually typed in (and contains errors).</a:t>
          </a:r>
        </a:p>
        <a:p>
          <a:r>
            <a:rPr lang="en-IN"/>
            <a:t>Your manager needs a </a:t>
          </a:r>
          <a:r>
            <a:rPr lang="en-IN" b="1"/>
            <a:t>Dynamic Executive Dashboard</a:t>
          </a:r>
          <a:r>
            <a:rPr lang="en-IN"/>
            <a:t> by the end of the day. The current data is fragmented, messy, and lacks key profitability metrics.</a:t>
          </a:r>
        </a:p>
        <a:p>
          <a:r>
            <a:rPr lang="en-IN" b="1"/>
            <a:t>2. Your Mission (Tasks)</a:t>
          </a:r>
        </a:p>
        <a:p>
          <a:r>
            <a:rPr lang="en-IN" b="1"/>
            <a:t>Part A: Data Cleaning (Text Functions)</a:t>
          </a:r>
        </a:p>
        <a:p>
          <a:r>
            <a:rPr lang="en-IN" i="1"/>
            <a:t>The Customer Database is a mess. We cannot send emails to clients with lowercase names or extra spaces.</a:t>
          </a:r>
          <a:endParaRPr lang="en-IN"/>
        </a:p>
        <a:p>
          <a:r>
            <a:rPr lang="en-IN"/>
            <a:t>Navigate to the </a:t>
          </a:r>
          <a:r>
            <a:rPr lang="en-IN" b="1"/>
            <a:t>Customer_Database</a:t>
          </a:r>
          <a:r>
            <a:rPr lang="en-IN"/>
            <a:t> sheet.</a:t>
          </a:r>
        </a:p>
        <a:p>
          <a:r>
            <a:rPr lang="en-IN"/>
            <a:t>Create a column </a:t>
          </a:r>
          <a:r>
            <a:rPr lang="en-IN" b="1"/>
            <a:t>"Clean Name"</a:t>
          </a:r>
          <a:r>
            <a:rPr lang="en-IN"/>
            <a:t>. Use Excel formulas to ensure all names are Proper Case (e.g., "John Smith") and have no leading/trailing spaces.</a:t>
          </a:r>
        </a:p>
        <a:p>
          <a:r>
            <a:rPr lang="en-IN"/>
            <a:t>Create a column </a:t>
          </a:r>
          <a:r>
            <a:rPr lang="en-IN" b="1"/>
            <a:t>"Email Domain"</a:t>
          </a:r>
          <a:r>
            <a:rPr lang="en-IN"/>
            <a:t>. Extract </a:t>
          </a:r>
          <a:r>
            <a:rPr lang="en-IN" i="1"/>
            <a:t>only</a:t>
          </a:r>
          <a:r>
            <a:rPr lang="en-IN"/>
            <a:t> the domain name from the email address (e.g., extract "gmail.com" from "j.smith@gmail.com").</a:t>
          </a:r>
        </a:p>
        <a:p>
          <a:r>
            <a:rPr lang="en-IN" b="1"/>
            <a:t>Part B: Data Integration (Advanced Lookups)</a:t>
          </a:r>
        </a:p>
        <a:p>
          <a:r>
            <a:rPr lang="en-IN" i="1"/>
            <a:t>The Orders sheet is missing product details and customer names. Connect the datasets.</a:t>
          </a:r>
          <a:endParaRPr lang="en-IN"/>
        </a:p>
        <a:p>
          <a:r>
            <a:rPr lang="en-IN"/>
            <a:t>Navigate to the </a:t>
          </a:r>
          <a:r>
            <a:rPr lang="en-IN" b="1"/>
            <a:t>Raw_Orders</a:t>
          </a:r>
          <a:r>
            <a:rPr lang="en-IN"/>
            <a:t> sheet.</a:t>
          </a:r>
        </a:p>
        <a:p>
          <a:r>
            <a:rPr lang="en-IN"/>
            <a:t>Bring in </a:t>
          </a:r>
          <a:r>
            <a:rPr lang="en-IN" b="1"/>
            <a:t>Product Name</a:t>
          </a:r>
          <a:r>
            <a:rPr lang="en-IN"/>
            <a:t>, </a:t>
          </a:r>
          <a:r>
            <a:rPr lang="en-IN" b="1"/>
            <a:t>Category</a:t>
          </a:r>
          <a:r>
            <a:rPr lang="en-IN"/>
            <a:t>, </a:t>
          </a:r>
          <a:r>
            <a:rPr lang="en-IN" b="1"/>
            <a:t>Unit Cost</a:t>
          </a:r>
          <a:r>
            <a:rPr lang="en-IN"/>
            <a:t>, and </a:t>
          </a:r>
          <a:r>
            <a:rPr lang="en-IN" b="1"/>
            <a:t>Unit Price</a:t>
          </a:r>
          <a:r>
            <a:rPr lang="en-IN"/>
            <a:t> from the </a:t>
          </a:r>
          <a:r>
            <a:rPr lang="en-IN" i="1"/>
            <a:t>Product_Master</a:t>
          </a:r>
          <a:r>
            <a:rPr lang="en-IN"/>
            <a:t> sheet based on the </a:t>
          </a:r>
          <a:r>
            <a:rPr lang="en-IN" sz="1100">
              <a:solidFill>
                <a:schemeClr val="dk1"/>
              </a:solidFill>
              <a:latin typeface="+mn-lt"/>
              <a:ea typeface="+mn-ea"/>
              <a:cs typeface="+mn-cs"/>
            </a:rPr>
            <a:t>Prod_ID</a:t>
          </a:r>
          <a:r>
            <a:rPr lang="en-IN"/>
            <a:t>.</a:t>
          </a:r>
        </a:p>
        <a:p>
          <a:r>
            <a:rPr lang="en-IN"/>
            <a:t>Bring in the </a:t>
          </a:r>
          <a:r>
            <a:rPr lang="en-IN" b="1"/>
            <a:t>Clean Name</a:t>
          </a:r>
          <a:r>
            <a:rPr lang="en-IN"/>
            <a:t> and </a:t>
          </a:r>
          <a:r>
            <a:rPr lang="en-IN" b="1"/>
            <a:t>Membership_Tier</a:t>
          </a:r>
          <a:r>
            <a:rPr lang="en-IN"/>
            <a:t> from the </a:t>
          </a:r>
          <a:r>
            <a:rPr lang="en-IN" i="1"/>
            <a:t>Customer_Database</a:t>
          </a:r>
          <a:r>
            <a:rPr lang="en-IN"/>
            <a:t> sheet based on the </a:t>
          </a:r>
          <a:r>
            <a:rPr lang="en-IN" sz="1100">
              <a:solidFill>
                <a:schemeClr val="dk1"/>
              </a:solidFill>
              <a:latin typeface="+mn-lt"/>
              <a:ea typeface="+mn-ea"/>
              <a:cs typeface="+mn-cs"/>
            </a:rPr>
            <a:t>Cust_ID</a:t>
          </a:r>
          <a:r>
            <a:rPr lang="en-IN"/>
            <a:t>.</a:t>
          </a:r>
        </a:p>
        <a:p>
          <a:r>
            <a:rPr lang="en-IN" b="1"/>
            <a:t>Error Check:</a:t>
          </a:r>
          <a:r>
            <a:rPr lang="en-IN"/>
            <a:t> If a Product ID is not found in the master list, the cell should display "Unknown Item" instead of an error code.</a:t>
          </a:r>
        </a:p>
        <a:p>
          <a:r>
            <a:rPr lang="en-IN" b="1"/>
            <a:t>Part C: Business Logic (IF, AND, OR)</a:t>
          </a:r>
        </a:p>
        <a:p>
          <a:r>
            <a:rPr lang="en-IN" i="1"/>
            <a:t>We need to calculate financial metrics and flag shipping issues.</a:t>
          </a:r>
          <a:endParaRPr lang="en-IN"/>
        </a:p>
        <a:p>
          <a:r>
            <a:rPr lang="en-IN" b="1"/>
            <a:t>Financials:</a:t>
          </a:r>
          <a:r>
            <a:rPr lang="en-IN"/>
            <a:t> Calculate </a:t>
          </a:r>
          <a:r>
            <a:rPr lang="en-IN" b="1"/>
            <a:t>Total Revenue</a:t>
          </a:r>
          <a:r>
            <a:rPr lang="en-IN"/>
            <a:t> (Qty * Price) and </a:t>
          </a:r>
          <a:r>
            <a:rPr lang="en-IN" b="1"/>
            <a:t>Total Profit</a:t>
          </a:r>
          <a:r>
            <a:rPr lang="en-IN"/>
            <a:t> ((Price - Cost) * Qty).</a:t>
          </a:r>
        </a:p>
        <a:p>
          <a:r>
            <a:rPr lang="en-IN" b="1"/>
            <a:t>Shipping Delay Calculation:</a:t>
          </a:r>
          <a:r>
            <a:rPr lang="en-IN"/>
            <a:t> Calculate the </a:t>
          </a:r>
          <a:r>
            <a:rPr lang="en-IN" sz="1100">
              <a:solidFill>
                <a:schemeClr val="dk1"/>
              </a:solidFill>
              <a:latin typeface="+mn-lt"/>
              <a:ea typeface="+mn-ea"/>
              <a:cs typeface="+mn-cs"/>
            </a:rPr>
            <a:t>Days to Ship</a:t>
          </a:r>
          <a:r>
            <a:rPr lang="en-IN"/>
            <a:t> (Ship_Date minus Date).</a:t>
          </a:r>
        </a:p>
        <a:p>
          <a:r>
            <a:rPr lang="en-IN" b="1"/>
            <a:t>SLA Status Flag (Nested Logic):</a:t>
          </a:r>
          <a:endParaRPr lang="en-IN"/>
        </a:p>
        <a:p>
          <a:pPr lvl="1"/>
          <a:r>
            <a:rPr lang="en-IN"/>
            <a:t>Create a column called "Status".</a:t>
          </a:r>
        </a:p>
        <a:p>
          <a:pPr lvl="1"/>
          <a:r>
            <a:rPr lang="en-IN"/>
            <a:t>If </a:t>
          </a:r>
          <a:r>
            <a:rPr lang="en-IN" sz="1100">
              <a:solidFill>
                <a:schemeClr val="dk1"/>
              </a:solidFill>
              <a:latin typeface="+mn-lt"/>
              <a:ea typeface="+mn-ea"/>
              <a:cs typeface="+mn-cs"/>
            </a:rPr>
            <a:t>Days to Ship</a:t>
          </a:r>
          <a:r>
            <a:rPr lang="en-IN"/>
            <a:t> is </a:t>
          </a:r>
          <a:r>
            <a:rPr lang="en-IN" b="1"/>
            <a:t>greater than 5</a:t>
          </a:r>
          <a:r>
            <a:rPr lang="en-IN"/>
            <a:t>, mark as </a:t>
          </a:r>
          <a:r>
            <a:rPr lang="en-IN" b="1"/>
            <a:t>"Late"</a:t>
          </a:r>
          <a:r>
            <a:rPr lang="en-IN"/>
            <a:t>.</a:t>
          </a:r>
        </a:p>
        <a:p>
          <a:pPr lvl="1"/>
          <a:r>
            <a:rPr lang="en-IN"/>
            <a:t>If </a:t>
          </a:r>
          <a:r>
            <a:rPr lang="en-IN" sz="1100">
              <a:solidFill>
                <a:schemeClr val="dk1"/>
              </a:solidFill>
              <a:latin typeface="+mn-lt"/>
              <a:ea typeface="+mn-ea"/>
              <a:cs typeface="+mn-cs"/>
            </a:rPr>
            <a:t>Days to Ship</a:t>
          </a:r>
          <a:r>
            <a:rPr lang="en-IN"/>
            <a:t> is </a:t>
          </a:r>
          <a:r>
            <a:rPr lang="en-IN" b="1"/>
            <a:t>5 or less</a:t>
          </a:r>
          <a:r>
            <a:rPr lang="en-IN"/>
            <a:t>, mark as </a:t>
          </a:r>
          <a:r>
            <a:rPr lang="en-IN" b="1"/>
            <a:t>"On Time"</a:t>
          </a:r>
          <a:r>
            <a:rPr lang="en-IN"/>
            <a:t>.</a:t>
          </a:r>
        </a:p>
        <a:p>
          <a:pPr lvl="1"/>
          <a:r>
            <a:rPr lang="en-IN" i="1"/>
            <a:t>Advanced Requirement:</a:t>
          </a:r>
          <a:r>
            <a:rPr lang="en-IN"/>
            <a:t> If the shipment is "Late" </a:t>
          </a:r>
          <a:r>
            <a:rPr lang="en-IN" b="1"/>
            <a:t>AND</a:t>
          </a:r>
          <a:r>
            <a:rPr lang="en-IN"/>
            <a:t> the Region is "North", mark it as </a:t>
          </a:r>
          <a:r>
            <a:rPr lang="en-IN" b="1"/>
            <a:t>"CRITICAL DELAY"</a:t>
          </a:r>
          <a:r>
            <a:rPr lang="en-IN"/>
            <a:t>.</a:t>
          </a:r>
        </a:p>
        <a:p>
          <a:r>
            <a:rPr lang="en-IN" b="1"/>
            <a:t>Valid Promo Check:</a:t>
          </a:r>
          <a:endParaRPr lang="en-IN"/>
        </a:p>
        <a:p>
          <a:pPr lvl="1"/>
          <a:r>
            <a:rPr lang="en-IN"/>
            <a:t>Create a column "Promo Valid?".</a:t>
          </a:r>
        </a:p>
        <a:p>
          <a:pPr lvl="1"/>
          <a:r>
            <a:rPr lang="en-IN"/>
            <a:t>Return </a:t>
          </a:r>
          <a:r>
            <a:rPr lang="en-IN" b="1"/>
            <a:t>TRUE</a:t>
          </a:r>
          <a:r>
            <a:rPr lang="en-IN"/>
            <a:t> if the Promo Code is "WELCOME10" </a:t>
          </a:r>
          <a:r>
            <a:rPr lang="en-IN" b="1"/>
            <a:t>OR</a:t>
          </a:r>
          <a:r>
            <a:rPr lang="en-IN"/>
            <a:t> "FREESHIP". Otherwise, return </a:t>
          </a:r>
          <a:r>
            <a:rPr lang="en-IN" b="1"/>
            <a:t>FALSE</a:t>
          </a:r>
          <a:r>
            <a:rPr lang="en-IN"/>
            <a:t>.</a:t>
          </a:r>
        </a:p>
        <a:p>
          <a:r>
            <a:rPr lang="en-IN" b="1"/>
            <a:t>Part D: Dashboard &amp; Visualization (Pivots &amp; Slicers)</a:t>
          </a:r>
        </a:p>
        <a:p>
          <a:r>
            <a:rPr lang="en-IN" i="1"/>
            <a:t>Create a visual summary for the Director.</a:t>
          </a:r>
          <a:endParaRPr lang="en-IN"/>
        </a:p>
        <a:p>
          <a:r>
            <a:rPr lang="en-IN"/>
            <a:t>Create a new sheet named </a:t>
          </a:r>
          <a:r>
            <a:rPr lang="en-IN" b="1"/>
            <a:t>"Executive_Dashboard"</a:t>
          </a:r>
          <a:r>
            <a:rPr lang="en-IN"/>
            <a:t>.</a:t>
          </a:r>
        </a:p>
        <a:p>
          <a:r>
            <a:rPr lang="en-IN" b="1"/>
            <a:t>Pivot Table 1:</a:t>
          </a:r>
          <a:r>
            <a:rPr lang="en-IN"/>
            <a:t> Total Profit by </a:t>
          </a:r>
          <a:r>
            <a:rPr lang="en-IN" b="1"/>
            <a:t>Product Category</a:t>
          </a:r>
          <a:r>
            <a:rPr lang="en-IN"/>
            <a:t>.</a:t>
          </a:r>
        </a:p>
        <a:p>
          <a:r>
            <a:rPr lang="en-IN" b="1"/>
            <a:t>Pivot Table 2:</a:t>
          </a:r>
          <a:r>
            <a:rPr lang="en-IN"/>
            <a:t> Count of "Critical Delays" by </a:t>
          </a:r>
          <a:r>
            <a:rPr lang="en-IN" b="1"/>
            <a:t>Region</a:t>
          </a:r>
          <a:r>
            <a:rPr lang="en-IN"/>
            <a:t>.</a:t>
          </a:r>
        </a:p>
        <a:p>
          <a:r>
            <a:rPr lang="en-IN" b="1"/>
            <a:t>Pivot Table 3:</a:t>
          </a:r>
          <a:r>
            <a:rPr lang="en-IN"/>
            <a:t> Total Revenue by </a:t>
          </a:r>
          <a:r>
            <a:rPr lang="en-IN" b="1"/>
            <a:t>Membership Tier</a:t>
          </a:r>
          <a:r>
            <a:rPr lang="en-IN"/>
            <a:t>.</a:t>
          </a:r>
        </a:p>
        <a:p>
          <a:r>
            <a:rPr lang="en-IN" b="1"/>
            <a:t>Slicers:</a:t>
          </a:r>
          <a:r>
            <a:rPr lang="en-IN"/>
            <a:t> Add a Timeline Slicer (Date) and a Category Slicer. Connect them to all Pivot Tables.</a:t>
          </a:r>
        </a:p>
        <a:p>
          <a:r>
            <a:rPr lang="en-IN" b="1"/>
            <a:t>Charts:</a:t>
          </a:r>
          <a:r>
            <a:rPr lang="en-IN"/>
            <a:t> Create one Column Chart and one Pie Chart representing the data.</a:t>
          </a:r>
        </a:p>
        <a:p>
          <a:r>
            <a:rPr lang="en-IN" b="1"/>
            <a:t>3. Submission Guidelines</a:t>
          </a:r>
        </a:p>
        <a:p>
          <a:r>
            <a:rPr lang="en-IN"/>
            <a:t>Ensure all formulas are dynamic.</a:t>
          </a:r>
        </a:p>
        <a:p>
          <a:r>
            <a:rPr lang="en-IN"/>
            <a:t>Format currency cells as </a:t>
          </a:r>
          <a:r>
            <a:rPr lang="en-IN" sz="1100">
              <a:solidFill>
                <a:schemeClr val="dk1"/>
              </a:solidFill>
              <a:latin typeface="+mn-lt"/>
              <a:ea typeface="+mn-ea"/>
              <a:cs typeface="+mn-cs"/>
            </a:rPr>
            <a:t>$</a:t>
          </a:r>
          <a:r>
            <a:rPr lang="en-IN"/>
            <a:t> and dates as </a:t>
          </a:r>
          <a:r>
            <a:rPr lang="en-IN" sz="1100">
              <a:solidFill>
                <a:schemeClr val="dk1"/>
              </a:solidFill>
              <a:latin typeface="+mn-lt"/>
              <a:ea typeface="+mn-ea"/>
              <a:cs typeface="+mn-cs"/>
            </a:rPr>
            <a:t>DD-MMM-YY</a:t>
          </a:r>
          <a:r>
            <a:rPr lang="en-IN"/>
            <a:t>.</a:t>
          </a:r>
        </a:p>
        <a:p>
          <a:r>
            <a:rPr lang="en-IN"/>
            <a:t>Rename your file </a:t>
          </a:r>
          <a:r>
            <a:rPr lang="en-IN" sz="1100">
              <a:solidFill>
                <a:schemeClr val="dk1"/>
              </a:solidFill>
              <a:latin typeface="+mn-lt"/>
              <a:ea typeface="+mn-ea"/>
              <a:cs typeface="+mn-cs"/>
            </a:rPr>
            <a:t>Firstname_Lastname_Apex_Capstone.xlsx</a:t>
          </a:r>
          <a:r>
            <a:rPr lang="en-IN"/>
            <a:t>.</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48541</xdr:colOff>
      <xdr:row>25</xdr:row>
      <xdr:rowOff>39788</xdr:rowOff>
    </xdr:from>
    <xdr:to>
      <xdr:col>11</xdr:col>
      <xdr:colOff>353341</xdr:colOff>
      <xdr:row>40</xdr:row>
      <xdr:rowOff>23459</xdr:rowOff>
    </xdr:to>
    <xdr:graphicFrame macro="">
      <xdr:nvGraphicFramePr>
        <xdr:cNvPr id="2" name="Chart 1">
          <a:extLst>
            <a:ext uri="{FF2B5EF4-FFF2-40B4-BE49-F238E27FC236}">
              <a16:creationId xmlns:a16="http://schemas.microsoft.com/office/drawing/2014/main" id="{88CDA41F-06D5-4A8F-8C33-3062EFEF0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419354</xdr:colOff>
      <xdr:row>25</xdr:row>
      <xdr:rowOff>49335</xdr:rowOff>
    </xdr:from>
    <xdr:to>
      <xdr:col>24</xdr:col>
      <xdr:colOff>119391</xdr:colOff>
      <xdr:row>40</xdr:row>
      <xdr:rowOff>33006</xdr:rowOff>
    </xdr:to>
    <xdr:graphicFrame macro="">
      <xdr:nvGraphicFramePr>
        <xdr:cNvPr id="3" name="Chart 2">
          <a:extLst>
            <a:ext uri="{FF2B5EF4-FFF2-40B4-BE49-F238E27FC236}">
              <a16:creationId xmlns:a16="http://schemas.microsoft.com/office/drawing/2014/main" id="{6B33FABD-2BC6-4E96-9067-D494C9BF5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270552</xdr:colOff>
      <xdr:row>9</xdr:row>
      <xdr:rowOff>15914</xdr:rowOff>
    </xdr:from>
    <xdr:to>
      <xdr:col>9</xdr:col>
      <xdr:colOff>583309</xdr:colOff>
      <xdr:row>23</xdr:row>
      <xdr:rowOff>188972</xdr:rowOff>
    </xdr:to>
    <xdr:graphicFrame macro="">
      <xdr:nvGraphicFramePr>
        <xdr:cNvPr id="4" name="Chart 3">
          <a:extLst>
            <a:ext uri="{FF2B5EF4-FFF2-40B4-BE49-F238E27FC236}">
              <a16:creationId xmlns:a16="http://schemas.microsoft.com/office/drawing/2014/main" id="{01F917CE-9B0C-4690-889C-69C92C29F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319092</xdr:colOff>
      <xdr:row>9</xdr:row>
      <xdr:rowOff>38991</xdr:rowOff>
    </xdr:from>
    <xdr:to>
      <xdr:col>18</xdr:col>
      <xdr:colOff>19130</xdr:colOff>
      <xdr:row>24</xdr:row>
      <xdr:rowOff>22663</xdr:rowOff>
    </xdr:to>
    <xdr:graphicFrame macro="">
      <xdr:nvGraphicFramePr>
        <xdr:cNvPr id="5" name="Chart 4">
          <a:extLst>
            <a:ext uri="{FF2B5EF4-FFF2-40B4-BE49-F238E27FC236}">
              <a16:creationId xmlns:a16="http://schemas.microsoft.com/office/drawing/2014/main" id="{AD218B12-6154-4367-99E8-3BE6BBEB2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490972</xdr:colOff>
      <xdr:row>9</xdr:row>
      <xdr:rowOff>72411</xdr:rowOff>
    </xdr:from>
    <xdr:to>
      <xdr:col>26</xdr:col>
      <xdr:colOff>191009</xdr:colOff>
      <xdr:row>24</xdr:row>
      <xdr:rowOff>56083</xdr:rowOff>
    </xdr:to>
    <xdr:graphicFrame macro="">
      <xdr:nvGraphicFramePr>
        <xdr:cNvPr id="6" name="Chart 5">
          <a:extLst>
            <a:ext uri="{FF2B5EF4-FFF2-40B4-BE49-F238E27FC236}">
              <a16:creationId xmlns:a16="http://schemas.microsoft.com/office/drawing/2014/main" id="{8535EF0C-F4C2-4C49-B0E8-065AA9C02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263248</xdr:colOff>
      <xdr:row>0</xdr:row>
      <xdr:rowOff>0</xdr:rowOff>
    </xdr:from>
    <xdr:to>
      <xdr:col>16</xdr:col>
      <xdr:colOff>533401</xdr:colOff>
      <xdr:row>7</xdr:row>
      <xdr:rowOff>45898</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F78C18AF-C30C-3B60-09A7-8D016E15CFD3}"/>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944552" y="0"/>
              <a:ext cx="3307110" cy="130209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261241</xdr:colOff>
      <xdr:row>25</xdr:row>
      <xdr:rowOff>33088</xdr:rowOff>
    </xdr:from>
    <xdr:to>
      <xdr:col>15</xdr:col>
      <xdr:colOff>251884</xdr:colOff>
      <xdr:row>32</xdr:row>
      <xdr:rowOff>100263</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283893A2-3244-D5B6-6C15-3667DC77F7A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549937" y="4519501"/>
              <a:ext cx="1812817" cy="1323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dip1" refreshedDate="46055.476342824077" createdVersion="8" refreshedVersion="8" minRefreshableVersion="3" recordCount="45" xr:uid="{50D7266B-BD4A-4ECE-9352-6C3DD81806BC}">
  <cacheSource type="worksheet">
    <worksheetSource name="Table1"/>
  </cacheSource>
  <cacheFields count="20">
    <cacheField name="OrderID" numFmtId="0">
      <sharedItems/>
    </cacheField>
    <cacheField name="Date" numFmtId="14">
      <sharedItems containsSemiMixedTypes="0" containsNonDate="0" containsDate="1" containsString="0" minDate="2024-01-03T00:00:00" maxDate="2024-01-31T00:00:00" count="15">
        <d v="2024-01-03T00:00:00"/>
        <d v="2024-01-04T00:00:00"/>
        <d v="2024-01-06T00:00:00"/>
        <d v="2024-01-08T00:00:00"/>
        <d v="2024-01-10T00:00:00"/>
        <d v="2024-01-12T00:00:00"/>
        <d v="2024-01-15T00:00:00"/>
        <d v="2024-01-16T00:00:00"/>
        <d v="2024-01-18T00:00:00"/>
        <d v="2024-01-20T00:00:00"/>
        <d v="2024-01-22T00:00:00"/>
        <d v="2024-01-25T00:00:00"/>
        <d v="2024-01-26T00:00:00"/>
        <d v="2024-01-28T00:00:00"/>
        <d v="2024-01-30T00:00:00"/>
      </sharedItems>
    </cacheField>
    <cacheField name="Cust_ID" numFmtId="0">
      <sharedItems/>
    </cacheField>
    <cacheField name="Prod_ID" numFmtId="0">
      <sharedItems/>
    </cacheField>
    <cacheField name="Qty" numFmtId="0">
      <sharedItems containsSemiMixedTypes="0" containsString="0" containsNumber="1" containsInteger="1" minValue="1" maxValue="20"/>
    </cacheField>
    <cacheField name="Ship_Date" numFmtId="14">
      <sharedItems containsSemiMixedTypes="0" containsNonDate="0" containsDate="1" containsString="0" minDate="2024-01-05T00:00:00" maxDate="2024-02-06T00:00:00"/>
    </cacheField>
    <cacheField name="Region" numFmtId="0">
      <sharedItems count="4">
        <s v="North"/>
        <s v="West"/>
        <s v="East"/>
        <s v="South"/>
      </sharedItems>
    </cacheField>
    <cacheField name="Promo_Code" numFmtId="0">
      <sharedItems containsBlank="1"/>
    </cacheField>
    <cacheField name="Product_name" numFmtId="0">
      <sharedItems count="6">
        <s v="Wireless Mouse X1"/>
        <s v="Ergo Office Chair"/>
        <s v="Mech Keyboard RGB"/>
        <s v="Dual Monitor Arm"/>
        <s v="Oak Standing Desk"/>
        <s v="Smart LED Lamp"/>
      </sharedItems>
    </cacheField>
    <cacheField name="Category" numFmtId="0">
      <sharedItems count="3">
        <s v="Electronics"/>
        <s v="Furniture"/>
        <s v="Home Decor"/>
      </sharedItems>
    </cacheField>
    <cacheField name="Unit_cost" numFmtId="164">
      <sharedItems containsSemiMixedTypes="0" containsString="0" containsNumber="1" minValue="12.5" maxValue="160"/>
    </cacheField>
    <cacheField name="Unit_price" numFmtId="164">
      <sharedItems containsSemiMixedTypes="0" containsString="0" containsNumber="1" minValue="39.99" maxValue="450"/>
    </cacheField>
    <cacheField name="Clean_name" numFmtId="0">
      <sharedItems/>
    </cacheField>
    <cacheField name="Membership_tier" numFmtId="0">
      <sharedItems count="3">
        <s v="Gold"/>
        <s v="Bronze"/>
        <s v="Silver"/>
      </sharedItems>
    </cacheField>
    <cacheField name="Total_Revenue" numFmtId="164">
      <sharedItems containsSemiMixedTypes="0" containsString="0" containsNumber="1" minValue="39.99" maxValue="1350"/>
    </cacheField>
    <cacheField name="Total_Profit" numFmtId="164">
      <sharedItems containsSemiMixedTypes="0" containsString="0" containsNumber="1" minValue="27.490000000000002" maxValue="870"/>
    </cacheField>
    <cacheField name="Days_to_ship" numFmtId="0">
      <sharedItems containsSemiMixedTypes="0" containsString="0" containsNumber="1" containsInteger="1" minValue="1" maxValue="11"/>
    </cacheField>
    <cacheField name="Status" numFmtId="0">
      <sharedItems count="2">
        <s v="On-time"/>
        <s v="Late"/>
      </sharedItems>
    </cacheField>
    <cacheField name="Remark" numFmtId="0">
      <sharedItems count="4">
        <s v="NORMAL"/>
        <s v="CRITICAL DELAY"/>
        <s v="" u="1"/>
        <b v="0" u="1"/>
      </sharedItems>
    </cacheField>
    <cacheField name="Promo_valid?" numFmtId="0">
      <sharedItems/>
    </cacheField>
  </cacheFields>
  <extLst>
    <ext xmlns:x14="http://schemas.microsoft.com/office/spreadsheetml/2009/9/main" uri="{725AE2AE-9491-48be-B2B4-4EB974FC3084}">
      <x14:pivotCacheDefinition pivotCacheId="21469016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s v="ORD-24-1001"/>
    <x v="0"/>
    <s v="C-001"/>
    <s v="P-500"/>
    <n v="5"/>
    <d v="2024-01-05T00:00:00"/>
    <x v="0"/>
    <s v="WELCOME10"/>
    <x v="0"/>
    <x v="0"/>
    <n v="12.5"/>
    <n v="39.99"/>
    <s v="John Smith"/>
    <x v="0"/>
    <n v="199.95000000000002"/>
    <n v="137.45000000000002"/>
    <n v="2"/>
    <x v="0"/>
    <x v="0"/>
    <b v="1"/>
  </r>
  <r>
    <s v="ORD-24-1002"/>
    <x v="1"/>
    <s v="C-003"/>
    <s v="P-502"/>
    <n v="1"/>
    <d v="2024-01-08T00:00:00"/>
    <x v="1"/>
    <m/>
    <x v="1"/>
    <x v="1"/>
    <n v="85"/>
    <n v="249.99"/>
    <s v="Emily Blunt"/>
    <x v="1"/>
    <n v="249.99"/>
    <n v="164.99"/>
    <n v="4"/>
    <x v="0"/>
    <x v="0"/>
    <b v="0"/>
  </r>
  <r>
    <s v="ORD-24-1003"/>
    <x v="2"/>
    <s v="C-002"/>
    <s v="P-501"/>
    <n v="10"/>
    <d v="2024-01-14T00:00:00"/>
    <x v="2"/>
    <s v="BULK25"/>
    <x v="2"/>
    <x v="0"/>
    <n v="45"/>
    <n v="129.99"/>
    <s v="Sarah Connor"/>
    <x v="2"/>
    <n v="1299.9000000000001"/>
    <n v="849.90000000000009"/>
    <n v="8"/>
    <x v="1"/>
    <x v="0"/>
    <b v="0"/>
  </r>
  <r>
    <s v="ORD-24-1004"/>
    <x v="3"/>
    <s v="C-005"/>
    <s v="P-505"/>
    <n v="2"/>
    <d v="2024-01-09T00:00:00"/>
    <x v="0"/>
    <m/>
    <x v="3"/>
    <x v="0"/>
    <n v="25"/>
    <n v="75"/>
    <s v="Dwight Schrute"/>
    <x v="2"/>
    <n v="150"/>
    <n v="100"/>
    <n v="1"/>
    <x v="0"/>
    <x v="0"/>
    <b v="0"/>
  </r>
  <r>
    <s v="ORD-24-1005"/>
    <x v="4"/>
    <s v="C-001"/>
    <s v="P-500"/>
    <n v="1"/>
    <d v="2024-01-12T00:00:00"/>
    <x v="0"/>
    <s v="FREESHIP"/>
    <x v="0"/>
    <x v="0"/>
    <n v="12.5"/>
    <n v="39.99"/>
    <s v="John Smith"/>
    <x v="0"/>
    <n v="39.99"/>
    <n v="27.490000000000002"/>
    <n v="2"/>
    <x v="0"/>
    <x v="0"/>
    <b v="1"/>
  </r>
  <r>
    <s v="ORD-24-1006"/>
    <x v="5"/>
    <s v="C-004"/>
    <s v="P-503"/>
    <n v="3"/>
    <d v="2024-01-19T00:00:00"/>
    <x v="3"/>
    <s v="WELCOME10"/>
    <x v="4"/>
    <x v="1"/>
    <n v="160"/>
    <n v="450"/>
    <s v="Michael Scott"/>
    <x v="0"/>
    <n v="1350"/>
    <n v="870"/>
    <n v="7"/>
    <x v="1"/>
    <x v="0"/>
    <b v="1"/>
  </r>
  <r>
    <s v="ORD-24-1007"/>
    <x v="6"/>
    <s v="C-006"/>
    <s v="P-504"/>
    <n v="4"/>
    <d v="2024-01-22T00:00:00"/>
    <x v="1"/>
    <m/>
    <x v="5"/>
    <x v="2"/>
    <n v="15"/>
    <n v="45"/>
    <s v="Jim Halpert"/>
    <x v="1"/>
    <n v="180"/>
    <n v="120"/>
    <n v="7"/>
    <x v="1"/>
    <x v="0"/>
    <b v="0"/>
  </r>
  <r>
    <s v="ORD-24-1008"/>
    <x v="7"/>
    <s v="C-002"/>
    <s v="P-501"/>
    <n v="6"/>
    <d v="2024-01-18T00:00:00"/>
    <x v="2"/>
    <m/>
    <x v="2"/>
    <x v="0"/>
    <n v="45"/>
    <n v="129.99"/>
    <s v="Sarah Connor"/>
    <x v="2"/>
    <n v="779.94"/>
    <n v="509.94000000000005"/>
    <n v="2"/>
    <x v="0"/>
    <x v="0"/>
    <b v="0"/>
  </r>
  <r>
    <s v="ORD-24-1009"/>
    <x v="8"/>
    <s v="C-008"/>
    <s v="P-502"/>
    <n v="2"/>
    <d v="2024-01-29T00:00:00"/>
    <x v="3"/>
    <s v="LATE_SORRY"/>
    <x v="1"/>
    <x v="1"/>
    <n v="85"/>
    <n v="249.99"/>
    <s v="Ryan Howard"/>
    <x v="1"/>
    <n v="499.98"/>
    <n v="329.98"/>
    <n v="11"/>
    <x v="1"/>
    <x v="0"/>
    <b v="0"/>
  </r>
  <r>
    <s v="ORD-24-1010"/>
    <x v="9"/>
    <s v="C-003"/>
    <s v="P-505"/>
    <n v="1"/>
    <d v="2024-01-21T00:00:00"/>
    <x v="1"/>
    <m/>
    <x v="3"/>
    <x v="0"/>
    <n v="25"/>
    <n v="75"/>
    <s v="Emily Blunt"/>
    <x v="1"/>
    <n v="75"/>
    <n v="50"/>
    <n v="1"/>
    <x v="0"/>
    <x v="0"/>
    <b v="0"/>
  </r>
  <r>
    <s v="ORD-24-1011"/>
    <x v="10"/>
    <s v="C-009"/>
    <s v="P-500"/>
    <n v="20"/>
    <d v="2024-01-23T00:00:00"/>
    <x v="0"/>
    <s v="BULK_VIP"/>
    <x v="0"/>
    <x v="0"/>
    <n v="12.5"/>
    <n v="39.99"/>
    <s v="Creed Bratton"/>
    <x v="0"/>
    <n v="799.80000000000007"/>
    <n v="549.80000000000007"/>
    <n v="1"/>
    <x v="0"/>
    <x v="0"/>
    <b v="0"/>
  </r>
  <r>
    <s v="ORD-24-1012"/>
    <x v="11"/>
    <s v="C-007"/>
    <s v="P-502"/>
    <n v="3"/>
    <d v="2024-02-05T00:00:00"/>
    <x v="2"/>
    <m/>
    <x v="1"/>
    <x v="1"/>
    <n v="85"/>
    <n v="249.99"/>
    <s v="Pam Beesly"/>
    <x v="2"/>
    <n v="749.97"/>
    <n v="494.97"/>
    <n v="11"/>
    <x v="1"/>
    <x v="0"/>
    <b v="0"/>
  </r>
  <r>
    <s v="ORD-24-1013"/>
    <x v="12"/>
    <s v="C-010"/>
    <s v="P-503"/>
    <n v="2"/>
    <d v="2024-01-28T00:00:00"/>
    <x v="3"/>
    <s v="WELCOME10"/>
    <x v="4"/>
    <x v="1"/>
    <n v="160"/>
    <n v="450"/>
    <s v="Stanley Hudson"/>
    <x v="2"/>
    <n v="900"/>
    <n v="580"/>
    <n v="2"/>
    <x v="0"/>
    <x v="0"/>
    <b v="1"/>
  </r>
  <r>
    <s v="ORD-24-1014"/>
    <x v="13"/>
    <s v="C-005"/>
    <s v="P-504"/>
    <n v="1"/>
    <d v="2024-02-02T00:00:00"/>
    <x v="0"/>
    <m/>
    <x v="5"/>
    <x v="2"/>
    <n v="15"/>
    <n v="45"/>
    <s v="Dwight Schrute"/>
    <x v="2"/>
    <n v="45"/>
    <n v="30"/>
    <n v="5"/>
    <x v="0"/>
    <x v="0"/>
    <b v="0"/>
  </r>
  <r>
    <s v="ORD-24-1015"/>
    <x v="14"/>
    <s v="C-001"/>
    <s v="P-501"/>
    <n v="5"/>
    <d v="2024-02-01T00:00:00"/>
    <x v="0"/>
    <s v="FREESHIP"/>
    <x v="2"/>
    <x v="0"/>
    <n v="45"/>
    <n v="129.99"/>
    <s v="John Smith"/>
    <x v="0"/>
    <n v="649.95000000000005"/>
    <n v="424.95000000000005"/>
    <n v="2"/>
    <x v="0"/>
    <x v="0"/>
    <b v="1"/>
  </r>
  <r>
    <s v="ORD-24-1001"/>
    <x v="0"/>
    <s v="C-001"/>
    <s v="P-500"/>
    <n v="5"/>
    <d v="2024-01-05T00:00:00"/>
    <x v="0"/>
    <s v="WELCOME10"/>
    <x v="0"/>
    <x v="0"/>
    <n v="12.5"/>
    <n v="39.99"/>
    <s v="John Smith"/>
    <x v="0"/>
    <n v="199.95000000000002"/>
    <n v="137.45000000000002"/>
    <n v="2"/>
    <x v="0"/>
    <x v="0"/>
    <b v="1"/>
  </r>
  <r>
    <s v="ORD-24-1002"/>
    <x v="1"/>
    <s v="C-003"/>
    <s v="P-502"/>
    <n v="1"/>
    <d v="2024-01-08T00:00:00"/>
    <x v="1"/>
    <m/>
    <x v="1"/>
    <x v="1"/>
    <n v="85"/>
    <n v="249.99"/>
    <s v="Emily Blunt"/>
    <x v="1"/>
    <n v="249.99"/>
    <n v="164.99"/>
    <n v="4"/>
    <x v="0"/>
    <x v="0"/>
    <b v="0"/>
  </r>
  <r>
    <s v="ORD-24-1003"/>
    <x v="2"/>
    <s v="C-002"/>
    <s v="P-501"/>
    <n v="10"/>
    <d v="2024-01-14T00:00:00"/>
    <x v="2"/>
    <s v="BULK25"/>
    <x v="2"/>
    <x v="0"/>
    <n v="45"/>
    <n v="129.99"/>
    <s v="Sarah Connor"/>
    <x v="2"/>
    <n v="1299.9000000000001"/>
    <n v="849.90000000000009"/>
    <n v="8"/>
    <x v="1"/>
    <x v="0"/>
    <b v="0"/>
  </r>
  <r>
    <s v="ORD-24-1004"/>
    <x v="3"/>
    <s v="C-005"/>
    <s v="P-505"/>
    <n v="2"/>
    <d v="2024-01-09T00:00:00"/>
    <x v="0"/>
    <m/>
    <x v="3"/>
    <x v="0"/>
    <n v="25"/>
    <n v="75"/>
    <s v="Dwight Schrute"/>
    <x v="2"/>
    <n v="150"/>
    <n v="100"/>
    <n v="1"/>
    <x v="0"/>
    <x v="0"/>
    <b v="0"/>
  </r>
  <r>
    <s v="ORD-24-1005"/>
    <x v="4"/>
    <s v="C-001"/>
    <s v="P-500"/>
    <n v="1"/>
    <d v="2024-01-12T00:00:00"/>
    <x v="0"/>
    <s v="FREESHIP"/>
    <x v="0"/>
    <x v="0"/>
    <n v="12.5"/>
    <n v="39.99"/>
    <s v="John Smith"/>
    <x v="0"/>
    <n v="39.99"/>
    <n v="27.490000000000002"/>
    <n v="2"/>
    <x v="0"/>
    <x v="0"/>
    <b v="1"/>
  </r>
  <r>
    <s v="ORD-24-1006"/>
    <x v="5"/>
    <s v="C-004"/>
    <s v="P-503"/>
    <n v="3"/>
    <d v="2024-01-19T00:00:00"/>
    <x v="3"/>
    <s v="WELCOME10"/>
    <x v="4"/>
    <x v="1"/>
    <n v="160"/>
    <n v="450"/>
    <s v="Michael Scott"/>
    <x v="0"/>
    <n v="1350"/>
    <n v="870"/>
    <n v="7"/>
    <x v="1"/>
    <x v="0"/>
    <b v="1"/>
  </r>
  <r>
    <s v="ORD-24-1007"/>
    <x v="6"/>
    <s v="C-006"/>
    <s v="P-504"/>
    <n v="4"/>
    <d v="2024-01-22T00:00:00"/>
    <x v="1"/>
    <m/>
    <x v="5"/>
    <x v="2"/>
    <n v="15"/>
    <n v="45"/>
    <s v="Jim Halpert"/>
    <x v="1"/>
    <n v="180"/>
    <n v="120"/>
    <n v="7"/>
    <x v="1"/>
    <x v="0"/>
    <b v="0"/>
  </r>
  <r>
    <s v="ORD-24-1008"/>
    <x v="7"/>
    <s v="C-002"/>
    <s v="P-501"/>
    <n v="6"/>
    <d v="2024-01-18T00:00:00"/>
    <x v="2"/>
    <m/>
    <x v="2"/>
    <x v="0"/>
    <n v="45"/>
    <n v="129.99"/>
    <s v="Sarah Connor"/>
    <x v="2"/>
    <n v="779.94"/>
    <n v="509.94000000000005"/>
    <n v="2"/>
    <x v="0"/>
    <x v="0"/>
    <b v="0"/>
  </r>
  <r>
    <s v="ORD-24-1009"/>
    <x v="8"/>
    <s v="C-008"/>
    <s v="P-502"/>
    <n v="2"/>
    <d v="2024-01-29T00:00:00"/>
    <x v="3"/>
    <s v="LATE_SORRY"/>
    <x v="1"/>
    <x v="1"/>
    <n v="85"/>
    <n v="249.99"/>
    <s v="Ryan Howard"/>
    <x v="1"/>
    <n v="499.98"/>
    <n v="329.98"/>
    <n v="11"/>
    <x v="1"/>
    <x v="0"/>
    <b v="0"/>
  </r>
  <r>
    <s v="ORD-24-1010"/>
    <x v="9"/>
    <s v="C-003"/>
    <s v="P-505"/>
    <n v="1"/>
    <d v="2024-01-21T00:00:00"/>
    <x v="1"/>
    <m/>
    <x v="3"/>
    <x v="0"/>
    <n v="25"/>
    <n v="75"/>
    <s v="Emily Blunt"/>
    <x v="1"/>
    <n v="75"/>
    <n v="50"/>
    <n v="1"/>
    <x v="0"/>
    <x v="0"/>
    <b v="0"/>
  </r>
  <r>
    <s v="ORD-24-1011"/>
    <x v="10"/>
    <s v="C-009"/>
    <s v="P-500"/>
    <n v="20"/>
    <d v="2024-01-23T00:00:00"/>
    <x v="0"/>
    <s v="BULK_VIP"/>
    <x v="0"/>
    <x v="0"/>
    <n v="12.5"/>
    <n v="39.99"/>
    <s v="Creed Bratton"/>
    <x v="0"/>
    <n v="799.80000000000007"/>
    <n v="549.80000000000007"/>
    <n v="1"/>
    <x v="0"/>
    <x v="0"/>
    <b v="0"/>
  </r>
  <r>
    <s v="ORD-24-1012"/>
    <x v="11"/>
    <s v="C-007"/>
    <s v="P-502"/>
    <n v="3"/>
    <d v="2024-02-05T00:00:00"/>
    <x v="2"/>
    <m/>
    <x v="1"/>
    <x v="1"/>
    <n v="85"/>
    <n v="249.99"/>
    <s v="Pam Beesly"/>
    <x v="2"/>
    <n v="749.97"/>
    <n v="494.97"/>
    <n v="11"/>
    <x v="1"/>
    <x v="0"/>
    <b v="0"/>
  </r>
  <r>
    <s v="ORD-24-1013"/>
    <x v="12"/>
    <s v="C-010"/>
    <s v="P-503"/>
    <n v="2"/>
    <d v="2024-01-28T00:00:00"/>
    <x v="3"/>
    <s v="WELCOME10"/>
    <x v="4"/>
    <x v="1"/>
    <n v="160"/>
    <n v="450"/>
    <s v="Stanley Hudson"/>
    <x v="2"/>
    <n v="900"/>
    <n v="580"/>
    <n v="2"/>
    <x v="0"/>
    <x v="0"/>
    <b v="1"/>
  </r>
  <r>
    <s v="ORD-24-1014"/>
    <x v="13"/>
    <s v="C-005"/>
    <s v="P-504"/>
    <n v="1"/>
    <d v="2024-02-02T00:00:00"/>
    <x v="0"/>
    <m/>
    <x v="5"/>
    <x v="2"/>
    <n v="15"/>
    <n v="45"/>
    <s v="Dwight Schrute"/>
    <x v="2"/>
    <n v="45"/>
    <n v="30"/>
    <n v="5"/>
    <x v="0"/>
    <x v="0"/>
    <b v="0"/>
  </r>
  <r>
    <s v="ORD-24-1015"/>
    <x v="14"/>
    <s v="C-001"/>
    <s v="P-501"/>
    <n v="5"/>
    <d v="2024-02-01T00:00:00"/>
    <x v="0"/>
    <s v="FREESHIP"/>
    <x v="2"/>
    <x v="0"/>
    <n v="45"/>
    <n v="129.99"/>
    <s v="John Smith"/>
    <x v="0"/>
    <n v="649.95000000000005"/>
    <n v="424.95000000000005"/>
    <n v="2"/>
    <x v="0"/>
    <x v="0"/>
    <b v="1"/>
  </r>
  <r>
    <s v="ORD-24-1001"/>
    <x v="0"/>
    <s v="C-001"/>
    <s v="P-500"/>
    <n v="5"/>
    <d v="2024-01-10T00:00:00"/>
    <x v="0"/>
    <s v="WELCOME10"/>
    <x v="0"/>
    <x v="0"/>
    <n v="12.5"/>
    <n v="39.99"/>
    <s v="John Smith"/>
    <x v="0"/>
    <n v="199.95000000000002"/>
    <n v="137.45000000000002"/>
    <n v="7"/>
    <x v="1"/>
    <x v="1"/>
    <b v="1"/>
  </r>
  <r>
    <s v="ORD-24-1002"/>
    <x v="1"/>
    <s v="C-003"/>
    <s v="P-502"/>
    <n v="1"/>
    <d v="2024-01-08T00:00:00"/>
    <x v="1"/>
    <m/>
    <x v="1"/>
    <x v="1"/>
    <n v="85"/>
    <n v="249.99"/>
    <s v="Emily Blunt"/>
    <x v="1"/>
    <n v="249.99"/>
    <n v="164.99"/>
    <n v="4"/>
    <x v="0"/>
    <x v="0"/>
    <b v="0"/>
  </r>
  <r>
    <s v="ORD-24-1003"/>
    <x v="2"/>
    <s v="C-002"/>
    <s v="P-501"/>
    <n v="10"/>
    <d v="2024-01-14T00:00:00"/>
    <x v="2"/>
    <s v="BULK25"/>
    <x v="2"/>
    <x v="0"/>
    <n v="45"/>
    <n v="129.99"/>
    <s v="Sarah Connor"/>
    <x v="2"/>
    <n v="1299.9000000000001"/>
    <n v="849.90000000000009"/>
    <n v="8"/>
    <x v="1"/>
    <x v="0"/>
    <b v="0"/>
  </r>
  <r>
    <s v="ORD-24-1004"/>
    <x v="3"/>
    <s v="C-005"/>
    <s v="P-505"/>
    <n v="2"/>
    <d v="2024-01-09T00:00:00"/>
    <x v="0"/>
    <m/>
    <x v="3"/>
    <x v="0"/>
    <n v="25"/>
    <n v="75"/>
    <s v="Dwight Schrute"/>
    <x v="2"/>
    <n v="150"/>
    <n v="100"/>
    <n v="1"/>
    <x v="0"/>
    <x v="0"/>
    <b v="0"/>
  </r>
  <r>
    <s v="ORD-24-1005"/>
    <x v="4"/>
    <s v="C-001"/>
    <s v="P-500"/>
    <n v="1"/>
    <d v="2024-01-12T00:00:00"/>
    <x v="0"/>
    <s v="FREESHIP"/>
    <x v="0"/>
    <x v="0"/>
    <n v="12.5"/>
    <n v="39.99"/>
    <s v="John Smith"/>
    <x v="0"/>
    <n v="39.99"/>
    <n v="27.490000000000002"/>
    <n v="2"/>
    <x v="0"/>
    <x v="0"/>
    <b v="1"/>
  </r>
  <r>
    <s v="ORD-24-1006"/>
    <x v="5"/>
    <s v="C-004"/>
    <s v="P-503"/>
    <n v="3"/>
    <d v="2024-01-19T00:00:00"/>
    <x v="3"/>
    <s v="WELCOME10"/>
    <x v="4"/>
    <x v="1"/>
    <n v="160"/>
    <n v="450"/>
    <s v="Michael Scott"/>
    <x v="0"/>
    <n v="1350"/>
    <n v="870"/>
    <n v="7"/>
    <x v="1"/>
    <x v="0"/>
    <b v="1"/>
  </r>
  <r>
    <s v="ORD-24-1007"/>
    <x v="6"/>
    <s v="C-006"/>
    <s v="P-504"/>
    <n v="4"/>
    <d v="2024-01-22T00:00:00"/>
    <x v="1"/>
    <m/>
    <x v="5"/>
    <x v="2"/>
    <n v="15"/>
    <n v="45"/>
    <s v="Jim Halpert"/>
    <x v="1"/>
    <n v="180"/>
    <n v="120"/>
    <n v="7"/>
    <x v="1"/>
    <x v="0"/>
    <b v="0"/>
  </r>
  <r>
    <s v="ORD-24-1008"/>
    <x v="7"/>
    <s v="C-002"/>
    <s v="P-501"/>
    <n v="6"/>
    <d v="2024-01-18T00:00:00"/>
    <x v="2"/>
    <m/>
    <x v="2"/>
    <x v="0"/>
    <n v="45"/>
    <n v="129.99"/>
    <s v="Sarah Connor"/>
    <x v="2"/>
    <n v="779.94"/>
    <n v="509.94000000000005"/>
    <n v="2"/>
    <x v="0"/>
    <x v="0"/>
    <b v="0"/>
  </r>
  <r>
    <s v="ORD-24-1009"/>
    <x v="8"/>
    <s v="C-008"/>
    <s v="P-502"/>
    <n v="2"/>
    <d v="2024-01-29T00:00:00"/>
    <x v="3"/>
    <s v="LATE_SORRY"/>
    <x v="1"/>
    <x v="1"/>
    <n v="85"/>
    <n v="249.99"/>
    <s v="Ryan Howard"/>
    <x v="1"/>
    <n v="499.98"/>
    <n v="329.98"/>
    <n v="11"/>
    <x v="1"/>
    <x v="0"/>
    <b v="0"/>
  </r>
  <r>
    <s v="ORD-24-1010"/>
    <x v="9"/>
    <s v="C-003"/>
    <s v="P-505"/>
    <n v="1"/>
    <d v="2024-01-21T00:00:00"/>
    <x v="1"/>
    <m/>
    <x v="3"/>
    <x v="0"/>
    <n v="25"/>
    <n v="75"/>
    <s v="Emily Blunt"/>
    <x v="1"/>
    <n v="75"/>
    <n v="50"/>
    <n v="1"/>
    <x v="0"/>
    <x v="0"/>
    <b v="0"/>
  </r>
  <r>
    <s v="ORD-24-1011"/>
    <x v="10"/>
    <s v="C-009"/>
    <s v="P-500"/>
    <n v="20"/>
    <d v="2024-01-23T00:00:00"/>
    <x v="0"/>
    <s v="BULK_VIP"/>
    <x v="0"/>
    <x v="0"/>
    <n v="12.5"/>
    <n v="39.99"/>
    <s v="Creed Bratton"/>
    <x v="0"/>
    <n v="799.80000000000007"/>
    <n v="549.80000000000007"/>
    <n v="1"/>
    <x v="0"/>
    <x v="0"/>
    <b v="0"/>
  </r>
  <r>
    <s v="ORD-24-1012"/>
    <x v="11"/>
    <s v="C-007"/>
    <s v="P-502"/>
    <n v="3"/>
    <d v="2024-02-05T00:00:00"/>
    <x v="2"/>
    <m/>
    <x v="1"/>
    <x v="1"/>
    <n v="85"/>
    <n v="249.99"/>
    <s v="Pam Beesly"/>
    <x v="2"/>
    <n v="749.97"/>
    <n v="494.97"/>
    <n v="11"/>
    <x v="1"/>
    <x v="0"/>
    <b v="0"/>
  </r>
  <r>
    <s v="ORD-24-1013"/>
    <x v="12"/>
    <s v="C-010"/>
    <s v="P-503"/>
    <n v="2"/>
    <d v="2024-01-28T00:00:00"/>
    <x v="3"/>
    <s v="WELCOME10"/>
    <x v="4"/>
    <x v="1"/>
    <n v="160"/>
    <n v="450"/>
    <s v="Stanley Hudson"/>
    <x v="2"/>
    <n v="900"/>
    <n v="580"/>
    <n v="2"/>
    <x v="0"/>
    <x v="0"/>
    <b v="1"/>
  </r>
  <r>
    <s v="ORD-24-1014"/>
    <x v="13"/>
    <s v="C-005"/>
    <s v="P-504"/>
    <n v="1"/>
    <d v="2024-02-02T00:00:00"/>
    <x v="0"/>
    <m/>
    <x v="5"/>
    <x v="2"/>
    <n v="15"/>
    <n v="45"/>
    <s v="Dwight Schrute"/>
    <x v="2"/>
    <n v="45"/>
    <n v="30"/>
    <n v="5"/>
    <x v="0"/>
    <x v="0"/>
    <b v="0"/>
  </r>
  <r>
    <s v="ORD-24-1015"/>
    <x v="14"/>
    <s v="C-001"/>
    <s v="P-501"/>
    <n v="5"/>
    <d v="2024-02-01T00:00:00"/>
    <x v="0"/>
    <s v="FREESHIP"/>
    <x v="2"/>
    <x v="0"/>
    <n v="45"/>
    <n v="129.99"/>
    <s v="John Smith"/>
    <x v="0"/>
    <n v="649.95000000000005"/>
    <n v="424.95000000000005"/>
    <n v="2"/>
    <x v="0"/>
    <x v="0"/>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EE6E31-27A4-4734-BC20-85B39E7DF896}"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J1:K5" firstHeaderRow="1" firstDataRow="1" firstDataCol="1"/>
  <pivotFields count="20">
    <pivotField showAll="0"/>
    <pivotField numFmtId="14" showAll="0">
      <items count="16">
        <item x="0"/>
        <item x="1"/>
        <item x="2"/>
        <item x="3"/>
        <item x="4"/>
        <item x="5"/>
        <item x="6"/>
        <item x="7"/>
        <item x="8"/>
        <item x="9"/>
        <item x="10"/>
        <item x="11"/>
        <item x="12"/>
        <item x="13"/>
        <item x="14"/>
        <item t="default"/>
      </items>
    </pivotField>
    <pivotField showAll="0"/>
    <pivotField showAll="0"/>
    <pivotField showAll="0"/>
    <pivotField numFmtId="14" showAll="0"/>
    <pivotField showAll="0">
      <items count="5">
        <item x="2"/>
        <item x="0"/>
        <item x="3"/>
        <item x="1"/>
        <item t="default"/>
      </items>
    </pivotField>
    <pivotField showAll="0"/>
    <pivotField showAll="0"/>
    <pivotField showAll="0">
      <items count="4">
        <item x="0"/>
        <item x="1"/>
        <item x="2"/>
        <item t="default"/>
      </items>
    </pivotField>
    <pivotField numFmtId="164" showAll="0"/>
    <pivotField numFmtId="164" showAll="0"/>
    <pivotField showAll="0"/>
    <pivotField axis="axisRow" showAll="0">
      <items count="4">
        <item x="1"/>
        <item x="0"/>
        <item x="2"/>
        <item t="default"/>
      </items>
    </pivotField>
    <pivotField dataField="1" numFmtId="164" showAll="0"/>
    <pivotField numFmtId="164" showAll="0"/>
    <pivotField showAll="0"/>
    <pivotField showAll="0"/>
    <pivotField showAll="0">
      <items count="5">
        <item x="1"/>
        <item m="1" x="3"/>
        <item m="1" x="2"/>
        <item x="0"/>
        <item t="default"/>
      </items>
    </pivotField>
    <pivotField showAll="0"/>
  </pivotFields>
  <rowFields count="1">
    <field x="13"/>
  </rowFields>
  <rowItems count="4">
    <i>
      <x/>
    </i>
    <i>
      <x v="1"/>
    </i>
    <i>
      <x v="2"/>
    </i>
    <i t="grand">
      <x/>
    </i>
  </rowItems>
  <colItems count="1">
    <i/>
  </colItems>
  <dataFields count="1">
    <dataField name="Sum of Total_Revenue" fld="14" baseField="0" baseItem="0" numFmtId="164"/>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0"/>
          </reference>
        </references>
      </pivotArea>
    </chartFormat>
    <chartFormat chart="3" format="7">
      <pivotArea type="data" outline="0" fieldPosition="0">
        <references count="2">
          <reference field="4294967294" count="1" selected="0">
            <x v="0"/>
          </reference>
          <reference field="13" count="1" selected="0">
            <x v="1"/>
          </reference>
        </references>
      </pivotArea>
    </chartFormat>
    <chartFormat chart="3"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1E313B-FC83-4E59-998A-A04E9AEBD14C}"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F1:G11" firstHeaderRow="1" firstDataRow="1" firstDataCol="1"/>
  <pivotFields count="20">
    <pivotField showAll="0"/>
    <pivotField numFmtId="14" showAll="0">
      <items count="16">
        <item x="0"/>
        <item x="1"/>
        <item x="2"/>
        <item x="3"/>
        <item x="4"/>
        <item x="5"/>
        <item x="6"/>
        <item x="7"/>
        <item x="8"/>
        <item x="9"/>
        <item x="10"/>
        <item x="11"/>
        <item x="12"/>
        <item x="13"/>
        <item x="14"/>
        <item t="default"/>
      </items>
    </pivotField>
    <pivotField showAll="0"/>
    <pivotField showAll="0"/>
    <pivotField showAll="0"/>
    <pivotField numFmtId="14" showAll="0"/>
    <pivotField axis="axisRow" showAll="0">
      <items count="5">
        <item x="2"/>
        <item x="0"/>
        <item x="3"/>
        <item x="1"/>
        <item t="default"/>
      </items>
    </pivotField>
    <pivotField showAll="0"/>
    <pivotField showAll="0"/>
    <pivotField showAll="0">
      <items count="4">
        <item x="0"/>
        <item x="1"/>
        <item x="2"/>
        <item t="default"/>
      </items>
    </pivotField>
    <pivotField numFmtId="164" showAll="0"/>
    <pivotField numFmtId="164" showAll="0"/>
    <pivotField showAll="0"/>
    <pivotField showAll="0"/>
    <pivotField numFmtId="164" showAll="0"/>
    <pivotField numFmtId="164" showAll="0"/>
    <pivotField showAll="0"/>
    <pivotField showAll="0"/>
    <pivotField axis="axisRow" dataField="1" showAll="0">
      <items count="5">
        <item x="1"/>
        <item m="1" x="3"/>
        <item m="1" x="2"/>
        <item x="0"/>
        <item t="default"/>
      </items>
    </pivotField>
    <pivotField showAll="0"/>
  </pivotFields>
  <rowFields count="2">
    <field x="6"/>
    <field x="18"/>
  </rowFields>
  <rowItems count="10">
    <i>
      <x/>
    </i>
    <i r="1">
      <x v="3"/>
    </i>
    <i>
      <x v="1"/>
    </i>
    <i r="1">
      <x/>
    </i>
    <i r="1">
      <x v="3"/>
    </i>
    <i>
      <x v="2"/>
    </i>
    <i r="1">
      <x v="3"/>
    </i>
    <i>
      <x v="3"/>
    </i>
    <i r="1">
      <x v="3"/>
    </i>
    <i t="grand">
      <x/>
    </i>
  </rowItems>
  <colItems count="1">
    <i/>
  </colItems>
  <dataFields count="1">
    <dataField name="Count of Remark" fld="18" subtotal="count" baseField="6"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2643F1-4D17-4412-83B4-14DF7241B674}"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B8" firstHeaderRow="1" firstDataRow="1" firstDataCol="1"/>
  <pivotFields count="20">
    <pivotField showAll="0"/>
    <pivotField numFmtId="14" showAll="0">
      <items count="16">
        <item x="0"/>
        <item x="1"/>
        <item x="2"/>
        <item x="3"/>
        <item x="4"/>
        <item x="5"/>
        <item x="6"/>
        <item x="7"/>
        <item x="8"/>
        <item x="9"/>
        <item x="10"/>
        <item x="11"/>
        <item x="12"/>
        <item x="13"/>
        <item x="14"/>
        <item t="default"/>
      </items>
    </pivotField>
    <pivotField showAll="0"/>
    <pivotField showAll="0"/>
    <pivotField showAll="0"/>
    <pivotField numFmtId="14" showAll="0"/>
    <pivotField showAll="0"/>
    <pivotField showAll="0"/>
    <pivotField axis="axisRow" showAll="0">
      <items count="7">
        <item x="3"/>
        <item x="1"/>
        <item x="2"/>
        <item x="4"/>
        <item x="5"/>
        <item x="0"/>
        <item t="default"/>
      </items>
    </pivotField>
    <pivotField showAll="0">
      <items count="4">
        <item x="0"/>
        <item x="1"/>
        <item x="2"/>
        <item t="default"/>
      </items>
    </pivotField>
    <pivotField numFmtId="164" showAll="0"/>
    <pivotField numFmtId="164" showAll="0"/>
    <pivotField showAll="0"/>
    <pivotField showAll="0"/>
    <pivotField dataField="1" numFmtId="164" showAll="0"/>
    <pivotField numFmtId="164" showAll="0"/>
    <pivotField showAll="0"/>
    <pivotField showAll="0"/>
    <pivotField showAll="0"/>
    <pivotField showAll="0"/>
  </pivotFields>
  <rowFields count="1">
    <field x="8"/>
  </rowFields>
  <rowItems count="7">
    <i>
      <x/>
    </i>
    <i>
      <x v="1"/>
    </i>
    <i>
      <x v="2"/>
    </i>
    <i>
      <x v="3"/>
    </i>
    <i>
      <x v="4"/>
    </i>
    <i>
      <x v="5"/>
    </i>
    <i t="grand">
      <x/>
    </i>
  </rowItems>
  <colItems count="1">
    <i/>
  </colItems>
  <dataFields count="1">
    <dataField name="Sum of Total_Revenue" fld="14"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91CA30-D31D-48D8-9C4D-94012E9B0535}" name="PivotTable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B14:C17" firstHeaderRow="1" firstDataRow="1" firstDataCol="1"/>
  <pivotFields count="20">
    <pivotField dataField="1" showAll="0"/>
    <pivotField numFmtId="14" showAll="0">
      <items count="16">
        <item x="0"/>
        <item x="1"/>
        <item x="2"/>
        <item x="3"/>
        <item x="4"/>
        <item x="5"/>
        <item x="6"/>
        <item x="7"/>
        <item x="8"/>
        <item x="9"/>
        <item x="10"/>
        <item x="11"/>
        <item x="12"/>
        <item x="13"/>
        <item x="14"/>
        <item t="default"/>
      </items>
    </pivotField>
    <pivotField showAll="0"/>
    <pivotField showAll="0"/>
    <pivotField showAll="0"/>
    <pivotField numFmtId="14" showAll="0"/>
    <pivotField showAll="0"/>
    <pivotField showAll="0"/>
    <pivotField showAll="0"/>
    <pivotField showAll="0">
      <items count="4">
        <item x="0"/>
        <item x="1"/>
        <item x="2"/>
        <item t="default"/>
      </items>
    </pivotField>
    <pivotField numFmtId="164" showAll="0"/>
    <pivotField numFmtId="164" showAll="0"/>
    <pivotField showAll="0"/>
    <pivotField showAll="0"/>
    <pivotField numFmtId="164" showAll="0"/>
    <pivotField numFmtId="164" showAll="0"/>
    <pivotField showAll="0"/>
    <pivotField axis="axisRow" showAll="0">
      <items count="3">
        <item x="1"/>
        <item x="0"/>
        <item t="default"/>
      </items>
    </pivotField>
    <pivotField showAll="0"/>
    <pivotField showAll="0"/>
  </pivotFields>
  <rowFields count="1">
    <field x="17"/>
  </rowFields>
  <rowItems count="3">
    <i>
      <x/>
    </i>
    <i>
      <x v="1"/>
    </i>
    <i t="grand">
      <x/>
    </i>
  </rowItems>
  <colItems count="1">
    <i/>
  </colItems>
  <dataFields count="1">
    <dataField name="Count of OrderID" fld="0" subtotal="count" baseField="0" baseItem="0"/>
  </dataFields>
  <chartFormats count="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7" count="1" selected="0">
            <x v="0"/>
          </reference>
        </references>
      </pivotArea>
    </chartFormat>
    <chartFormat chart="2" format="3">
      <pivotArea type="data" outline="0" fieldPosition="0">
        <references count="2">
          <reference field="4294967294" count="1" selected="0">
            <x v="0"/>
          </reference>
          <reference field="17"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7" count="1" selected="0">
            <x v="0"/>
          </reference>
        </references>
      </pivotArea>
    </chartFormat>
    <chartFormat chart="3" format="6">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906FDC-48E1-4838-9B8E-2F6AC7A4E01F}"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J9:K13" firstHeaderRow="1" firstDataRow="1" firstDataCol="1"/>
  <pivotFields count="20">
    <pivotField showAll="0"/>
    <pivotField numFmtId="14" showAll="0">
      <items count="16">
        <item x="0"/>
        <item x="1"/>
        <item x="2"/>
        <item x="3"/>
        <item x="4"/>
        <item x="5"/>
        <item x="6"/>
        <item x="7"/>
        <item x="8"/>
        <item x="9"/>
        <item x="10"/>
        <item x="11"/>
        <item x="12"/>
        <item x="13"/>
        <item x="14"/>
        <item t="default"/>
      </items>
    </pivotField>
    <pivotField showAll="0"/>
    <pivotField showAll="0"/>
    <pivotField showAll="0"/>
    <pivotField numFmtId="14" showAll="0"/>
    <pivotField showAll="0">
      <items count="5">
        <item x="2"/>
        <item x="0"/>
        <item x="3"/>
        <item x="1"/>
        <item t="default"/>
      </items>
    </pivotField>
    <pivotField showAll="0"/>
    <pivotField showAll="0"/>
    <pivotField axis="axisRow" showAll="0">
      <items count="4">
        <item x="0"/>
        <item x="1"/>
        <item x="2"/>
        <item t="default"/>
      </items>
    </pivotField>
    <pivotField numFmtId="164" showAll="0"/>
    <pivotField numFmtId="164" showAll="0"/>
    <pivotField showAll="0"/>
    <pivotField showAll="0">
      <items count="4">
        <item x="1"/>
        <item x="0"/>
        <item x="2"/>
        <item t="default"/>
      </items>
    </pivotField>
    <pivotField dataField="1" numFmtId="164" showAll="0"/>
    <pivotField numFmtId="164" showAll="0"/>
    <pivotField showAll="0"/>
    <pivotField showAll="0"/>
    <pivotField showAll="0">
      <items count="5">
        <item x="1"/>
        <item m="1" x="3"/>
        <item m="1" x="2"/>
        <item x="0"/>
        <item t="default"/>
      </items>
    </pivotField>
    <pivotField showAll="0"/>
  </pivotFields>
  <rowFields count="1">
    <field x="9"/>
  </rowFields>
  <rowItems count="4">
    <i>
      <x/>
    </i>
    <i>
      <x v="1"/>
    </i>
    <i>
      <x v="2"/>
    </i>
    <i t="grand">
      <x/>
    </i>
  </rowItems>
  <colItems count="1">
    <i/>
  </colItems>
  <dataFields count="1">
    <dataField name="Sum of Total_Revenue" fld="14" baseField="0" baseItem="0" numFmtId="164"/>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8C51A07-9FF3-4503-9376-3D41C3EFA73D}" sourceName="Category">
  <pivotTables>
    <pivotTable tabId="4" name="PivotTable5"/>
    <pivotTable tabId="4" name="PivotTable1"/>
    <pivotTable tabId="4" name="PivotTable2"/>
    <pivotTable tabId="4" name="PivotTable3"/>
    <pivotTable tabId="4" name="PivotTable4"/>
  </pivotTables>
  <data>
    <tabular pivotCacheId="214690165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2B5029B-3974-4895-B998-31EBAD63A151}" cache="Slicer_Category" caption="Category" style="SlicerStyleLight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3ABE48-1E2E-4C58-80BE-665DEF20F345}" name="Table1" displayName="Table1" ref="A1:T46" totalsRowShown="0" headerRowDxfId="33">
  <autoFilter ref="A1:T46" xr:uid="{6B3ABE48-1E2E-4C58-80BE-665DEF20F345}"/>
  <tableColumns count="20">
    <tableColumn id="1" xr3:uid="{B1243258-729C-4DE8-B149-91BD33ED53FA}" name="OrderID" dataDxfId="32"/>
    <tableColumn id="2" xr3:uid="{07FFF467-DB3E-43CC-B5DB-0ACA3A55A879}" name="Date" dataDxfId="31"/>
    <tableColumn id="3" xr3:uid="{C2EBF828-3076-4B25-8DB1-02053DA6944E}" name="Cust_ID" dataDxfId="30"/>
    <tableColumn id="4" xr3:uid="{A18CBC58-2561-4197-B95C-F6B2381F26CF}" name="Prod_ID" dataDxfId="29"/>
    <tableColumn id="5" xr3:uid="{482F9022-FCBB-4E10-94C1-91DA469C8963}" name="Qty" dataDxfId="28"/>
    <tableColumn id="6" xr3:uid="{7EDCB0C7-835B-404A-92AC-C2D08C54D446}" name="Ship_Date" dataDxfId="27"/>
    <tableColumn id="7" xr3:uid="{094DEDA4-B3FC-4FA5-8CCD-057F67169157}" name="Region" dataDxfId="26"/>
    <tableColumn id="8" xr3:uid="{3162D729-39DE-4B55-9A82-F2B63C65F1AC}" name="Promo_Code" dataDxfId="25"/>
    <tableColumn id="9" xr3:uid="{A0796DDB-6FB9-49F1-B022-B7A252ABB118}" name="Product_name" dataDxfId="24">
      <calculatedColumnFormula>VLOOKUP(D2,Product_Master!$A$1:$F$8,2,FALSE)</calculatedColumnFormula>
    </tableColumn>
    <tableColumn id="10" xr3:uid="{73E9955E-A93E-44A2-8EC4-DA9FE4A210AC}" name="Category" dataDxfId="23">
      <calculatedColumnFormula>INDEX(Product_Master!$A$1:$F$8,MATCH(Raw_orders!D2,Product_Master!$A$1:$A$8,0),3)</calculatedColumnFormula>
    </tableColumn>
    <tableColumn id="11" xr3:uid="{DC6A4094-E8EE-4824-B254-075E4FF5653F}" name="Unit_cost" dataDxfId="22">
      <calculatedColumnFormula>_xlfn.XLOOKUP(D2,Product_Master!A:A,Product_Master!D:D,"Not Found",0)</calculatedColumnFormula>
    </tableColumn>
    <tableColumn id="12" xr3:uid="{7DE78EA1-F88D-4CB3-ABEA-3ADFD0C95E64}" name="Unit_price" dataDxfId="21">
      <calculatedColumnFormula>_xlfn.XLOOKUP(D2,Product_Master!A:A,Product_Master!E:E,"Not Found")</calculatedColumnFormula>
    </tableColumn>
    <tableColumn id="13" xr3:uid="{014B2CB8-B2BE-45F3-8E57-11EC52D897CA}" name="Clean_name" dataDxfId="20">
      <calculatedColumnFormula>IFERROR(VLOOKUP(C2,Customer_database!$A$1:$F$11,5,FALSE),"Unknown Item")</calculatedColumnFormula>
    </tableColumn>
    <tableColumn id="14" xr3:uid="{310C2AA7-1073-4605-B62B-90384A8813EE}" name="Membership_tier" dataDxfId="19">
      <calculatedColumnFormula>INDEX(Customer_database!$A$1:$F$11,MATCH(Raw_orders!C2,Customer_database!$A$1:$A$11,0),4)</calculatedColumnFormula>
    </tableColumn>
    <tableColumn id="15" xr3:uid="{1B6C7863-9432-4C9D-8E66-90B2410934C4}" name="Total_Revenue" dataDxfId="18">
      <calculatedColumnFormula>E2*L2</calculatedColumnFormula>
    </tableColumn>
    <tableColumn id="16" xr3:uid="{586E9AC8-87E3-46E8-A2DF-CEF3DA98000F}" name="Total_Profit" dataDxfId="17">
      <calculatedColumnFormula>(L2-K2)*E2</calculatedColumnFormula>
    </tableColumn>
    <tableColumn id="17" xr3:uid="{A88E47F0-F8EB-4A75-8FF3-54D700339058}" name="Days_to_ship">
      <calculatedColumnFormula>F2-B2</calculatedColumnFormula>
    </tableColumn>
    <tableColumn id="18" xr3:uid="{C3F58764-DA3A-47F5-BBA9-0FDC4E7F9B0B}" name="Status" dataDxfId="16">
      <calculatedColumnFormula>IF(Q2&gt;5,"Late","On-time")</calculatedColumnFormula>
    </tableColumn>
    <tableColumn id="20" xr3:uid="{56C933F8-3E1D-4BCD-B88B-40628A582965}" name="Remark" dataDxfId="15">
      <calculatedColumnFormula>IF(AND(Table1[[#This Row],[Status]]="Late",Table1[[#This Row],[Region]]="North"),"CRITICAL DELAY","NORMAL")</calculatedColumnFormula>
    </tableColumn>
    <tableColumn id="19" xr3:uid="{DDC3DBD4-1F10-4B5A-92A6-9E58441BC85A}" name="Promo_valid?">
      <calculatedColumnFormula>OR(H2="WELCOME10",H2="FREESHIP")</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E2CD46-3516-44BA-9E0F-97E487823001}" name="Table2" displayName="Table2" ref="A1:F8" totalsRowShown="0" headerRowDxfId="14" dataDxfId="13">
  <autoFilter ref="A1:F8" xr:uid="{3BE2CD46-3516-44BA-9E0F-97E487823001}"/>
  <tableColumns count="6">
    <tableColumn id="1" xr3:uid="{AD200C48-D613-4252-8C00-3B0D5259D662}" name="Prod_ID" dataDxfId="12"/>
    <tableColumn id="2" xr3:uid="{9AAB4F07-45FA-420F-BA3C-0A7010A50BB1}" name="Product_Name" dataDxfId="11"/>
    <tableColumn id="3" xr3:uid="{C6BCEE88-6CA8-409F-A87C-376D9C5F2997}" name="Category" dataDxfId="10"/>
    <tableColumn id="4" xr3:uid="{071E1ED2-8565-482B-971C-6D0CCFB3AFF5}" name="Unit_Cost" dataDxfId="9"/>
    <tableColumn id="5" xr3:uid="{D7BFCC7C-76D2-4D29-BB26-4EB1EEDBDD8C}" name="Unit_Price" dataDxfId="8"/>
    <tableColumn id="6" xr3:uid="{CBD11069-76CA-42F9-8748-86753BDBBBA6}" name="Supplier"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BAAF90-80D5-47E8-9585-21DC2D6B4D18}" name="Table3" displayName="Table3" ref="A1:F11" totalsRowShown="0" headerRowDxfId="6" dataDxfId="5">
  <autoFilter ref="A1:F11" xr:uid="{ACBAAF90-80D5-47E8-9585-21DC2D6B4D18}"/>
  <tableColumns count="6">
    <tableColumn id="1" xr3:uid="{EE159D9F-5818-4018-B442-F66744221CAA}" name="Cust_ID" dataDxfId="4"/>
    <tableColumn id="2" xr3:uid="{686742CF-A14E-40E9-B70F-C7D3C0776D35}" name="Customer_Raw_Name" dataDxfId="3"/>
    <tableColumn id="3" xr3:uid="{FB797A8B-9FFF-4B4D-82E7-92E0C8F74AD7}" name="Email_Address" dataDxfId="2"/>
    <tableColumn id="4" xr3:uid="{D8F8E602-E917-4842-A7F9-56D0B1E28C6B}" name="Membership_Tier" dataDxfId="1"/>
    <tableColumn id="5" xr3:uid="{AD2850CF-52CE-4012-A0C7-75CBFA347C69}" name="Clean_name">
      <calculatedColumnFormula>TRIM(PROPER(B2))</calculatedColumnFormula>
    </tableColumn>
    <tableColumn id="6" xr3:uid="{5C8B03E7-63DF-4347-BE1E-A374B3DD64EE}" name="Domain_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7F915F1-C0B5-4B24-A12F-A808DD7B7FE7}" sourceName="Date">
  <pivotTables>
    <pivotTable tabId="4" name="PivotTable5"/>
    <pivotTable tabId="4" name="PivotTable1"/>
    <pivotTable tabId="4" name="PivotTable2"/>
    <pivotTable tabId="4" name="PivotTable3"/>
    <pivotTable tabId="4" name="PivotTable4"/>
  </pivotTables>
  <state minimalRefreshVersion="6" lastRefreshVersion="6" pivotCacheId="2146901654"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3FD092B-87A7-464B-83F5-CA43E65650E1}" cache="NativeTimeline_Date" caption="Date" level="2" selectionLevel="2" scrollPosition="2024-01-01T00:00:00" style="TimeSlicerStyleLight4"/>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0486A-375D-446D-84B4-B39A07F1A676}">
  <dimension ref="A1:T46"/>
  <sheetViews>
    <sheetView topLeftCell="U33" zoomScale="113" workbookViewId="0">
      <selection activeCell="R7" sqref="R7"/>
    </sheetView>
  </sheetViews>
  <sheetFormatPr defaultRowHeight="14.4" x14ac:dyDescent="0.3"/>
  <cols>
    <col min="1" max="1" width="12.21875" bestFit="1" customWidth="1"/>
    <col min="2" max="2" width="10.5546875" bestFit="1" customWidth="1"/>
    <col min="3" max="4" width="9" customWidth="1"/>
    <col min="5" max="5" width="5.21875" customWidth="1"/>
    <col min="6" max="6" width="10.77734375" customWidth="1"/>
    <col min="7" max="7" width="8.21875" customWidth="1"/>
    <col min="8" max="8" width="13.21875" customWidth="1"/>
    <col min="9" max="9" width="17.21875" bestFit="1" customWidth="1"/>
    <col min="10" max="10" width="11.109375" bestFit="1" customWidth="1"/>
    <col min="11" max="11" width="10.21875" customWidth="1"/>
    <col min="12" max="12" width="10.77734375" customWidth="1"/>
    <col min="13" max="13" width="13.6640625" bestFit="1" customWidth="1"/>
    <col min="14" max="14" width="16.44140625" customWidth="1"/>
    <col min="15" max="15" width="14.6640625" customWidth="1"/>
    <col min="16" max="16" width="12" customWidth="1"/>
    <col min="17" max="17" width="13.21875" customWidth="1"/>
    <col min="18" max="18" width="14.109375" bestFit="1" customWidth="1"/>
    <col min="19" max="19" width="14.109375" customWidth="1"/>
    <col min="20" max="20" width="13.6640625" customWidth="1"/>
  </cols>
  <sheetData>
    <row r="1" spans="1:20" x14ac:dyDescent="0.3">
      <c r="A1" s="1" t="s">
        <v>0</v>
      </c>
      <c r="B1" s="1" t="s">
        <v>1</v>
      </c>
      <c r="C1" s="1" t="s">
        <v>2</v>
      </c>
      <c r="D1" s="1" t="s">
        <v>3</v>
      </c>
      <c r="E1" s="1" t="s">
        <v>4</v>
      </c>
      <c r="F1" s="1" t="s">
        <v>5</v>
      </c>
      <c r="G1" s="1" t="s">
        <v>6</v>
      </c>
      <c r="H1" s="1" t="s">
        <v>7</v>
      </c>
      <c r="I1" s="1" t="s">
        <v>106</v>
      </c>
      <c r="J1" s="1" t="s">
        <v>49</v>
      </c>
      <c r="K1" s="1" t="s">
        <v>107</v>
      </c>
      <c r="L1" s="1" t="s">
        <v>108</v>
      </c>
      <c r="M1" s="1" t="s">
        <v>97</v>
      </c>
      <c r="N1" s="1" t="s">
        <v>109</v>
      </c>
      <c r="O1" s="1" t="s">
        <v>110</v>
      </c>
      <c r="P1" s="1" t="s">
        <v>111</v>
      </c>
      <c r="Q1" s="1" t="s">
        <v>112</v>
      </c>
      <c r="R1" s="1" t="s">
        <v>113</v>
      </c>
      <c r="S1" s="1" t="s">
        <v>114</v>
      </c>
      <c r="T1" s="1" t="s">
        <v>115</v>
      </c>
    </row>
    <row r="2" spans="1:20" x14ac:dyDescent="0.3">
      <c r="A2" s="1" t="s">
        <v>8</v>
      </c>
      <c r="B2" s="2">
        <v>45294</v>
      </c>
      <c r="C2" s="1" t="s">
        <v>9</v>
      </c>
      <c r="D2" s="1" t="s">
        <v>10</v>
      </c>
      <c r="E2" s="1">
        <v>5</v>
      </c>
      <c r="F2" s="2">
        <v>45296</v>
      </c>
      <c r="G2" s="1" t="s">
        <v>11</v>
      </c>
      <c r="H2" s="1" t="s">
        <v>12</v>
      </c>
      <c r="I2" s="1" t="str">
        <f>VLOOKUP(D2,Product_Master!$A$1:$F$8,2,FALSE)</f>
        <v>Wireless Mouse X1</v>
      </c>
      <c r="J2" s="1" t="str">
        <f>INDEX(Product_Master!$A$1:$F$8,MATCH(Raw_orders!D2,Product_Master!$A$1:$A$8,0),3)</f>
        <v>Electronics</v>
      </c>
      <c r="K2" s="4">
        <f>_xlfn.XLOOKUP(D2,Product_Master!A:A,Product_Master!D:D,"Not Found",0)</f>
        <v>12.5</v>
      </c>
      <c r="L2" s="4">
        <f>_xlfn.XLOOKUP(D2,Product_Master!A:A,Product_Master!E:E,"Not Found")</f>
        <v>39.99</v>
      </c>
      <c r="M2" s="1" t="str">
        <f>IFERROR(VLOOKUP(C2,Customer_database!$A$1:$F$11,5,FALSE),"Unknown Item")</f>
        <v>John Smith</v>
      </c>
      <c r="N2" s="1" t="str">
        <f>INDEX(Customer_database!$A$1:$F$11,MATCH(Raw_orders!C2,Customer_database!$A$1:$A$11,0),4)</f>
        <v>Gold</v>
      </c>
      <c r="O2" s="3">
        <f>E2*L2</f>
        <v>199.95000000000002</v>
      </c>
      <c r="P2" s="3">
        <f>(L2-K2)*E2</f>
        <v>137.45000000000002</v>
      </c>
      <c r="Q2">
        <f>F2-B2</f>
        <v>2</v>
      </c>
      <c r="R2" t="str">
        <f t="shared" ref="R2:R46" si="0">IF(Q2&gt;5,"Late","On-time")</f>
        <v>On-time</v>
      </c>
      <c r="S2" t="str">
        <f>IF(AND(Table1[[#This Row],[Status]]="Late",Table1[[#This Row],[Region]]="North"),"CRITICAL DELAY","NORMAL")</f>
        <v>NORMAL</v>
      </c>
      <c r="T2" t="b">
        <f>OR(H2="WELCOME10",H2="FREESHIP")</f>
        <v>1</v>
      </c>
    </row>
    <row r="3" spans="1:20" x14ac:dyDescent="0.3">
      <c r="A3" s="1" t="s">
        <v>13</v>
      </c>
      <c r="B3" s="2">
        <v>45295</v>
      </c>
      <c r="C3" s="1" t="s">
        <v>14</v>
      </c>
      <c r="D3" s="1" t="s">
        <v>15</v>
      </c>
      <c r="E3" s="1">
        <v>1</v>
      </c>
      <c r="F3" s="2">
        <v>45299</v>
      </c>
      <c r="G3" s="1" t="s">
        <v>16</v>
      </c>
      <c r="H3" s="1"/>
      <c r="I3" s="1" t="str">
        <f>VLOOKUP(D3,Product_Master!$A$1:$F$8,2,FALSE)</f>
        <v>Ergo Office Chair</v>
      </c>
      <c r="J3" s="1" t="str">
        <f>INDEX(Product_Master!$A$1:$F$8,MATCH(Raw_orders!D3,Product_Master!$A$1:$A$8,0),3)</f>
        <v>Furniture</v>
      </c>
      <c r="K3" s="4">
        <f>_xlfn.XLOOKUP(D3,Product_Master!A:A,Product_Master!D:D,"Not Found",0)</f>
        <v>85</v>
      </c>
      <c r="L3" s="4">
        <f>_xlfn.XLOOKUP(D3,Product_Master!A:A,Product_Master!E:E,"Not Found")</f>
        <v>249.99</v>
      </c>
      <c r="M3" s="1" t="str">
        <f>IFERROR(VLOOKUP(C3,Customer_database!$A$1:$F$11,5,FALSE),"Unknown Item")</f>
        <v>Emily Blunt</v>
      </c>
      <c r="N3" s="1" t="str">
        <f>INDEX(Customer_database!$A$1:$F$11,MATCH(Raw_orders!C3,Customer_database!$A$1:$A$11,0),4)</f>
        <v>Bronze</v>
      </c>
      <c r="O3" s="3">
        <f t="shared" ref="O3:O46" si="1">E3*L3</f>
        <v>249.99</v>
      </c>
      <c r="P3" s="3">
        <f t="shared" ref="P3:P46" si="2">(L3-K3)*E3</f>
        <v>164.99</v>
      </c>
      <c r="Q3">
        <f t="shared" ref="Q3:Q46" si="3">F3-B3</f>
        <v>4</v>
      </c>
      <c r="R3" t="str">
        <f t="shared" si="0"/>
        <v>On-time</v>
      </c>
      <c r="S3" t="str">
        <f>IF(AND(Table1[[#This Row],[Status]]="Late",Table1[[#This Row],[Region]]="North"),"CRITICAL DELAY","NORMAL")</f>
        <v>NORMAL</v>
      </c>
      <c r="T3" t="b">
        <f t="shared" ref="T3:T46" si="4">OR(H3="WELCOME10",H3="FREESHIP")</f>
        <v>0</v>
      </c>
    </row>
    <row r="4" spans="1:20" x14ac:dyDescent="0.3">
      <c r="A4" s="1" t="s">
        <v>17</v>
      </c>
      <c r="B4" s="2">
        <v>45297</v>
      </c>
      <c r="C4" s="1" t="s">
        <v>18</v>
      </c>
      <c r="D4" s="1" t="s">
        <v>19</v>
      </c>
      <c r="E4" s="1">
        <v>10</v>
      </c>
      <c r="F4" s="2">
        <v>45305</v>
      </c>
      <c r="G4" s="1" t="s">
        <v>20</v>
      </c>
      <c r="H4" s="1" t="s">
        <v>21</v>
      </c>
      <c r="I4" s="1" t="str">
        <f>VLOOKUP(D4,Product_Master!$A$1:$F$8,2,FALSE)</f>
        <v>Mech Keyboard RGB</v>
      </c>
      <c r="J4" s="1" t="str">
        <f>INDEX(Product_Master!$A$1:$F$8,MATCH(Raw_orders!D4,Product_Master!$A$1:$A$8,0),3)</f>
        <v>Electronics</v>
      </c>
      <c r="K4" s="4">
        <f>_xlfn.XLOOKUP(D4,Product_Master!A:A,Product_Master!D:D,"Not Found",0)</f>
        <v>45</v>
      </c>
      <c r="L4" s="4">
        <f>_xlfn.XLOOKUP(D4,Product_Master!A:A,Product_Master!E:E,"Not Found")</f>
        <v>129.99</v>
      </c>
      <c r="M4" s="1" t="str">
        <f>IFERROR(VLOOKUP(C4,Customer_database!$A$1:$F$11,5,FALSE),"Unknown Item")</f>
        <v>Sarah Connor</v>
      </c>
      <c r="N4" s="1" t="str">
        <f>INDEX(Customer_database!$A$1:$F$11,MATCH(Raw_orders!C4,Customer_database!$A$1:$A$11,0),4)</f>
        <v>Silver</v>
      </c>
      <c r="O4" s="3">
        <f t="shared" si="1"/>
        <v>1299.9000000000001</v>
      </c>
      <c r="P4" s="3">
        <f t="shared" si="2"/>
        <v>849.90000000000009</v>
      </c>
      <c r="Q4">
        <f t="shared" si="3"/>
        <v>8</v>
      </c>
      <c r="R4" t="str">
        <f t="shared" si="0"/>
        <v>Late</v>
      </c>
      <c r="S4" t="str">
        <f>IF(AND(Table1[[#This Row],[Status]]="Late",Table1[[#This Row],[Region]]="North"),"CRITICAL DELAY","NORMAL")</f>
        <v>NORMAL</v>
      </c>
      <c r="T4" t="b">
        <f t="shared" si="4"/>
        <v>0</v>
      </c>
    </row>
    <row r="5" spans="1:20" x14ac:dyDescent="0.3">
      <c r="A5" s="1" t="s">
        <v>22</v>
      </c>
      <c r="B5" s="2">
        <v>45299</v>
      </c>
      <c r="C5" s="1" t="s">
        <v>23</v>
      </c>
      <c r="D5" s="1" t="s">
        <v>24</v>
      </c>
      <c r="E5" s="1">
        <v>2</v>
      </c>
      <c r="F5" s="2">
        <v>45300</v>
      </c>
      <c r="G5" s="1" t="s">
        <v>11</v>
      </c>
      <c r="H5" s="1"/>
      <c r="I5" s="1" t="str">
        <f>VLOOKUP(D5,Product_Master!$A$1:$F$8,2,FALSE)</f>
        <v>Dual Monitor Arm</v>
      </c>
      <c r="J5" s="1" t="str">
        <f>INDEX(Product_Master!$A$1:$F$8,MATCH(Raw_orders!D5,Product_Master!$A$1:$A$8,0),3)</f>
        <v>Electronics</v>
      </c>
      <c r="K5" s="4">
        <f>_xlfn.XLOOKUP(D5,Product_Master!A:A,Product_Master!D:D,"Not Found",0)</f>
        <v>25</v>
      </c>
      <c r="L5" s="4">
        <f>_xlfn.XLOOKUP(D5,Product_Master!A:A,Product_Master!E:E,"Not Found")</f>
        <v>75</v>
      </c>
      <c r="M5" s="1" t="str">
        <f>IFERROR(VLOOKUP(C5,Customer_database!$A$1:$F$11,5,FALSE),"Unknown Item")</f>
        <v>Dwight Schrute</v>
      </c>
      <c r="N5" s="1" t="str">
        <f>INDEX(Customer_database!$A$1:$F$11,MATCH(Raw_orders!C5,Customer_database!$A$1:$A$11,0),4)</f>
        <v>Silver</v>
      </c>
      <c r="O5" s="3">
        <f t="shared" si="1"/>
        <v>150</v>
      </c>
      <c r="P5" s="3">
        <f t="shared" si="2"/>
        <v>100</v>
      </c>
      <c r="Q5">
        <f t="shared" si="3"/>
        <v>1</v>
      </c>
      <c r="R5" t="str">
        <f t="shared" si="0"/>
        <v>On-time</v>
      </c>
      <c r="S5" t="str">
        <f>IF(AND(Table1[[#This Row],[Status]]="Late",Table1[[#This Row],[Region]]="North"),"CRITICAL DELAY","NORMAL")</f>
        <v>NORMAL</v>
      </c>
      <c r="T5" t="b">
        <f t="shared" si="4"/>
        <v>0</v>
      </c>
    </row>
    <row r="6" spans="1:20" x14ac:dyDescent="0.3">
      <c r="A6" s="1" t="s">
        <v>25</v>
      </c>
      <c r="B6" s="2">
        <v>45301</v>
      </c>
      <c r="C6" s="1" t="s">
        <v>9</v>
      </c>
      <c r="D6" s="1" t="s">
        <v>10</v>
      </c>
      <c r="E6" s="1">
        <v>1</v>
      </c>
      <c r="F6" s="2">
        <v>45303</v>
      </c>
      <c r="G6" s="1" t="s">
        <v>11</v>
      </c>
      <c r="H6" s="1" t="s">
        <v>26</v>
      </c>
      <c r="I6" s="1" t="str">
        <f>VLOOKUP(D6,Product_Master!$A$1:$F$8,2,FALSE)</f>
        <v>Wireless Mouse X1</v>
      </c>
      <c r="J6" s="1" t="str">
        <f>INDEX(Product_Master!$A$1:$F$8,MATCH(Raw_orders!D6,Product_Master!$A$1:$A$8,0),3)</f>
        <v>Electronics</v>
      </c>
      <c r="K6" s="4">
        <f>_xlfn.XLOOKUP(D6,Product_Master!A:A,Product_Master!D:D,"Not Found",0)</f>
        <v>12.5</v>
      </c>
      <c r="L6" s="4">
        <f>_xlfn.XLOOKUP(D6,Product_Master!A:A,Product_Master!E:E,"Not Found")</f>
        <v>39.99</v>
      </c>
      <c r="M6" s="1" t="str">
        <f>IFERROR(VLOOKUP(C6,Customer_database!$A$1:$F$11,5,FALSE),"Unknown Item")</f>
        <v>John Smith</v>
      </c>
      <c r="N6" s="1" t="str">
        <f>INDEX(Customer_database!$A$1:$F$11,MATCH(Raw_orders!C6,Customer_database!$A$1:$A$11,0),4)</f>
        <v>Gold</v>
      </c>
      <c r="O6" s="3">
        <f t="shared" si="1"/>
        <v>39.99</v>
      </c>
      <c r="P6" s="3">
        <f t="shared" si="2"/>
        <v>27.490000000000002</v>
      </c>
      <c r="Q6">
        <f t="shared" si="3"/>
        <v>2</v>
      </c>
      <c r="R6" t="str">
        <f t="shared" si="0"/>
        <v>On-time</v>
      </c>
      <c r="S6" t="str">
        <f>IF(AND(Table1[[#This Row],[Status]]="Late",Table1[[#This Row],[Region]]="North"),"CRITICAL DELAY","NORMAL")</f>
        <v>NORMAL</v>
      </c>
      <c r="T6" t="b">
        <f t="shared" si="4"/>
        <v>1</v>
      </c>
    </row>
    <row r="7" spans="1:20" x14ac:dyDescent="0.3">
      <c r="A7" s="1" t="s">
        <v>27</v>
      </c>
      <c r="B7" s="2">
        <v>45303</v>
      </c>
      <c r="C7" s="1" t="s">
        <v>28</v>
      </c>
      <c r="D7" s="1" t="s">
        <v>29</v>
      </c>
      <c r="E7" s="1">
        <v>3</v>
      </c>
      <c r="F7" s="2">
        <v>45310</v>
      </c>
      <c r="G7" s="1" t="s">
        <v>30</v>
      </c>
      <c r="H7" s="1" t="s">
        <v>12</v>
      </c>
      <c r="I7" s="1" t="str">
        <f>VLOOKUP(D7,Product_Master!$A$1:$F$8,2,FALSE)</f>
        <v>Oak Standing Desk</v>
      </c>
      <c r="J7" s="1" t="str">
        <f>INDEX(Product_Master!$A$1:$F$8,MATCH(Raw_orders!D7,Product_Master!$A$1:$A$8,0),3)</f>
        <v>Furniture</v>
      </c>
      <c r="K7" s="4">
        <f>_xlfn.XLOOKUP(D7,Product_Master!A:A,Product_Master!D:D,"Not Found",0)</f>
        <v>160</v>
      </c>
      <c r="L7" s="4">
        <f>_xlfn.XLOOKUP(D7,Product_Master!A:A,Product_Master!E:E,"Not Found")</f>
        <v>450</v>
      </c>
      <c r="M7" s="1" t="str">
        <f>IFERROR(VLOOKUP(C7,Customer_database!$A$1:$F$11,5,FALSE),"Unknown Item")</f>
        <v>Michael Scott</v>
      </c>
      <c r="N7" s="1" t="str">
        <f>INDEX(Customer_database!$A$1:$F$11,MATCH(Raw_orders!C7,Customer_database!$A$1:$A$11,0),4)</f>
        <v>Gold</v>
      </c>
      <c r="O7" s="3">
        <f t="shared" si="1"/>
        <v>1350</v>
      </c>
      <c r="P7" s="3">
        <f t="shared" si="2"/>
        <v>870</v>
      </c>
      <c r="Q7">
        <f t="shared" si="3"/>
        <v>7</v>
      </c>
      <c r="R7" t="str">
        <f>IF(Q7&gt;5,"Late","On-time")</f>
        <v>Late</v>
      </c>
      <c r="S7" t="str">
        <f>IF(AND(Table1[[#This Row],[Status]]="Late",Table1[[#This Row],[Region]]="North"),"CRITICAL DELAY","NORMAL")</f>
        <v>NORMAL</v>
      </c>
      <c r="T7" t="b">
        <f t="shared" si="4"/>
        <v>1</v>
      </c>
    </row>
    <row r="8" spans="1:20" x14ac:dyDescent="0.3">
      <c r="A8" s="1" t="s">
        <v>31</v>
      </c>
      <c r="B8" s="2">
        <v>45306</v>
      </c>
      <c r="C8" s="1" t="s">
        <v>32</v>
      </c>
      <c r="D8" s="1" t="s">
        <v>33</v>
      </c>
      <c r="E8" s="1">
        <v>4</v>
      </c>
      <c r="F8" s="2">
        <v>45313</v>
      </c>
      <c r="G8" s="1" t="s">
        <v>16</v>
      </c>
      <c r="H8" s="1"/>
      <c r="I8" s="1" t="str">
        <f>VLOOKUP(D8,Product_Master!$A$1:$F$8,2,FALSE)</f>
        <v>Smart LED Lamp</v>
      </c>
      <c r="J8" s="1" t="str">
        <f>INDEX(Product_Master!$A$1:$F$8,MATCH(Raw_orders!D8,Product_Master!$A$1:$A$8,0),3)</f>
        <v>Home Decor</v>
      </c>
      <c r="K8" s="4">
        <f>_xlfn.XLOOKUP(D8,Product_Master!A:A,Product_Master!D:D,"Not Found",0)</f>
        <v>15</v>
      </c>
      <c r="L8" s="4">
        <f>_xlfn.XLOOKUP(D8,Product_Master!A:A,Product_Master!E:E,"Not Found")</f>
        <v>45</v>
      </c>
      <c r="M8" s="1" t="str">
        <f>IFERROR(VLOOKUP(C8,Customer_database!$A$1:$F$11,5,FALSE),"Unknown Item")</f>
        <v>Jim Halpert</v>
      </c>
      <c r="N8" s="1" t="str">
        <f>INDEX(Customer_database!$A$1:$F$11,MATCH(Raw_orders!C8,Customer_database!$A$1:$A$11,0),4)</f>
        <v>Bronze</v>
      </c>
      <c r="O8" s="3">
        <f t="shared" si="1"/>
        <v>180</v>
      </c>
      <c r="P8" s="3">
        <f t="shared" si="2"/>
        <v>120</v>
      </c>
      <c r="Q8">
        <f t="shared" si="3"/>
        <v>7</v>
      </c>
      <c r="R8" t="str">
        <f t="shared" si="0"/>
        <v>Late</v>
      </c>
      <c r="S8" t="str">
        <f>IF(AND(Table1[[#This Row],[Status]]="Late",Table1[[#This Row],[Region]]="North"),"CRITICAL DELAY","NORMAL")</f>
        <v>NORMAL</v>
      </c>
      <c r="T8" t="b">
        <f t="shared" si="4"/>
        <v>0</v>
      </c>
    </row>
    <row r="9" spans="1:20" x14ac:dyDescent="0.3">
      <c r="A9" s="1" t="s">
        <v>34</v>
      </c>
      <c r="B9" s="2">
        <v>45307</v>
      </c>
      <c r="C9" s="1" t="s">
        <v>18</v>
      </c>
      <c r="D9" s="1" t="s">
        <v>19</v>
      </c>
      <c r="E9" s="1">
        <v>6</v>
      </c>
      <c r="F9" s="2">
        <v>45309</v>
      </c>
      <c r="G9" s="1" t="s">
        <v>20</v>
      </c>
      <c r="H9" s="1"/>
      <c r="I9" s="1" t="str">
        <f>VLOOKUP(D9,Product_Master!$A$1:$F$8,2,FALSE)</f>
        <v>Mech Keyboard RGB</v>
      </c>
      <c r="J9" s="1" t="str">
        <f>INDEX(Product_Master!$A$1:$F$8,MATCH(Raw_orders!D9,Product_Master!$A$1:$A$8,0),3)</f>
        <v>Electronics</v>
      </c>
      <c r="K9" s="4">
        <f>_xlfn.XLOOKUP(D9,Product_Master!A:A,Product_Master!D:D,"Not Found",0)</f>
        <v>45</v>
      </c>
      <c r="L9" s="4">
        <f>_xlfn.XLOOKUP(D9,Product_Master!A:A,Product_Master!E:E,"Not Found")</f>
        <v>129.99</v>
      </c>
      <c r="M9" s="1" t="str">
        <f>IFERROR(VLOOKUP(C9,Customer_database!$A$1:$F$11,5,FALSE),"Unknown Item")</f>
        <v>Sarah Connor</v>
      </c>
      <c r="N9" s="1" t="str">
        <f>INDEX(Customer_database!$A$1:$F$11,MATCH(Raw_orders!C9,Customer_database!$A$1:$A$11,0),4)</f>
        <v>Silver</v>
      </c>
      <c r="O9" s="3">
        <f t="shared" si="1"/>
        <v>779.94</v>
      </c>
      <c r="P9" s="3">
        <f t="shared" si="2"/>
        <v>509.94000000000005</v>
      </c>
      <c r="Q9">
        <f t="shared" si="3"/>
        <v>2</v>
      </c>
      <c r="R9" t="str">
        <f t="shared" si="0"/>
        <v>On-time</v>
      </c>
      <c r="S9" t="str">
        <f>IF(AND(Table1[[#This Row],[Status]]="Late",Table1[[#This Row],[Region]]="North"),"CRITICAL DELAY","NORMAL")</f>
        <v>NORMAL</v>
      </c>
      <c r="T9" t="b">
        <f t="shared" si="4"/>
        <v>0</v>
      </c>
    </row>
    <row r="10" spans="1:20" x14ac:dyDescent="0.3">
      <c r="A10" s="1" t="s">
        <v>35</v>
      </c>
      <c r="B10" s="2">
        <v>45309</v>
      </c>
      <c r="C10" s="1" t="s">
        <v>36</v>
      </c>
      <c r="D10" s="1" t="s">
        <v>15</v>
      </c>
      <c r="E10" s="1">
        <v>2</v>
      </c>
      <c r="F10" s="2">
        <v>45320</v>
      </c>
      <c r="G10" s="1" t="s">
        <v>30</v>
      </c>
      <c r="H10" s="1" t="s">
        <v>37</v>
      </c>
      <c r="I10" s="1" t="str">
        <f>VLOOKUP(D10,Product_Master!$A$1:$F$8,2,FALSE)</f>
        <v>Ergo Office Chair</v>
      </c>
      <c r="J10" s="1" t="str">
        <f>INDEX(Product_Master!$A$1:$F$8,MATCH(Raw_orders!D10,Product_Master!$A$1:$A$8,0),3)</f>
        <v>Furniture</v>
      </c>
      <c r="K10" s="4">
        <f>_xlfn.XLOOKUP(D10,Product_Master!A:A,Product_Master!D:D,"Not Found",0)</f>
        <v>85</v>
      </c>
      <c r="L10" s="4">
        <f>_xlfn.XLOOKUP(D10,Product_Master!A:A,Product_Master!E:E,"Not Found")</f>
        <v>249.99</v>
      </c>
      <c r="M10" s="1" t="str">
        <f>IFERROR(VLOOKUP(C10,Customer_database!$A$1:$F$11,5,FALSE),"Unknown Item")</f>
        <v>Ryan Howard</v>
      </c>
      <c r="N10" s="1" t="str">
        <f>INDEX(Customer_database!$A$1:$F$11,MATCH(Raw_orders!C10,Customer_database!$A$1:$A$11,0),4)</f>
        <v>Bronze</v>
      </c>
      <c r="O10" s="3">
        <f t="shared" si="1"/>
        <v>499.98</v>
      </c>
      <c r="P10" s="3">
        <f t="shared" si="2"/>
        <v>329.98</v>
      </c>
      <c r="Q10">
        <f t="shared" si="3"/>
        <v>11</v>
      </c>
      <c r="R10" t="str">
        <f t="shared" si="0"/>
        <v>Late</v>
      </c>
      <c r="S10" t="str">
        <f>IF(AND(Table1[[#This Row],[Status]]="Late",Table1[[#This Row],[Region]]="North"),"CRITICAL DELAY","NORMAL")</f>
        <v>NORMAL</v>
      </c>
      <c r="T10" t="b">
        <f t="shared" si="4"/>
        <v>0</v>
      </c>
    </row>
    <row r="11" spans="1:20" x14ac:dyDescent="0.3">
      <c r="A11" s="1" t="s">
        <v>38</v>
      </c>
      <c r="B11" s="2">
        <v>45311</v>
      </c>
      <c r="C11" s="1" t="s">
        <v>14</v>
      </c>
      <c r="D11" s="1" t="s">
        <v>24</v>
      </c>
      <c r="E11" s="1">
        <v>1</v>
      </c>
      <c r="F11" s="2">
        <v>45312</v>
      </c>
      <c r="G11" s="1" t="s">
        <v>16</v>
      </c>
      <c r="H11" s="1"/>
      <c r="I11" s="1" t="str">
        <f>VLOOKUP(D11,Product_Master!$A$1:$F$8,2,FALSE)</f>
        <v>Dual Monitor Arm</v>
      </c>
      <c r="J11" s="1" t="str">
        <f>INDEX(Product_Master!$A$1:$F$8,MATCH(Raw_orders!D11,Product_Master!$A$1:$A$8,0),3)</f>
        <v>Electronics</v>
      </c>
      <c r="K11" s="4">
        <f>_xlfn.XLOOKUP(D11,Product_Master!A:A,Product_Master!D:D,"Not Found",0)</f>
        <v>25</v>
      </c>
      <c r="L11" s="4">
        <f>_xlfn.XLOOKUP(D11,Product_Master!A:A,Product_Master!E:E,"Not Found")</f>
        <v>75</v>
      </c>
      <c r="M11" s="1" t="str">
        <f>IFERROR(VLOOKUP(C11,Customer_database!$A$1:$F$11,5,FALSE),"Unknown Item")</f>
        <v>Emily Blunt</v>
      </c>
      <c r="N11" s="1" t="str">
        <f>INDEX(Customer_database!$A$1:$F$11,MATCH(Raw_orders!C11,Customer_database!$A$1:$A$11,0),4)</f>
        <v>Bronze</v>
      </c>
      <c r="O11" s="3">
        <f t="shared" si="1"/>
        <v>75</v>
      </c>
      <c r="P11" s="3">
        <f t="shared" si="2"/>
        <v>50</v>
      </c>
      <c r="Q11">
        <f t="shared" si="3"/>
        <v>1</v>
      </c>
      <c r="R11" t="str">
        <f t="shared" si="0"/>
        <v>On-time</v>
      </c>
      <c r="S11" t="str">
        <f>IF(AND(Table1[[#This Row],[Status]]="Late",Table1[[#This Row],[Region]]="North"),"CRITICAL DELAY","NORMAL")</f>
        <v>NORMAL</v>
      </c>
      <c r="T11" t="b">
        <f t="shared" si="4"/>
        <v>0</v>
      </c>
    </row>
    <row r="12" spans="1:20" x14ac:dyDescent="0.3">
      <c r="A12" s="1" t="s">
        <v>39</v>
      </c>
      <c r="B12" s="2">
        <v>45313</v>
      </c>
      <c r="C12" s="1" t="s">
        <v>40</v>
      </c>
      <c r="D12" s="1" t="s">
        <v>10</v>
      </c>
      <c r="E12" s="1">
        <v>20</v>
      </c>
      <c r="F12" s="2">
        <v>45314</v>
      </c>
      <c r="G12" s="1" t="s">
        <v>11</v>
      </c>
      <c r="H12" s="1" t="s">
        <v>41</v>
      </c>
      <c r="I12" s="1" t="str">
        <f>VLOOKUP(D12,Product_Master!$A$1:$F$8,2,FALSE)</f>
        <v>Wireless Mouse X1</v>
      </c>
      <c r="J12" s="1" t="str">
        <f>INDEX(Product_Master!$A$1:$F$8,MATCH(Raw_orders!D12,Product_Master!$A$1:$A$8,0),3)</f>
        <v>Electronics</v>
      </c>
      <c r="K12" s="4">
        <f>_xlfn.XLOOKUP(D12,Product_Master!A:A,Product_Master!D:D,"Not Found",0)</f>
        <v>12.5</v>
      </c>
      <c r="L12" s="4">
        <f>_xlfn.XLOOKUP(D12,Product_Master!A:A,Product_Master!E:E,"Not Found")</f>
        <v>39.99</v>
      </c>
      <c r="M12" s="1" t="str">
        <f>IFERROR(VLOOKUP(C12,Customer_database!$A$1:$F$11,5,FALSE),"Unknown Item")</f>
        <v>Creed Bratton</v>
      </c>
      <c r="N12" s="1" t="str">
        <f>INDEX(Customer_database!$A$1:$F$11,MATCH(Raw_orders!C12,Customer_database!$A$1:$A$11,0),4)</f>
        <v>Gold</v>
      </c>
      <c r="O12" s="3">
        <f t="shared" si="1"/>
        <v>799.80000000000007</v>
      </c>
      <c r="P12" s="3">
        <f t="shared" si="2"/>
        <v>549.80000000000007</v>
      </c>
      <c r="Q12">
        <f t="shared" si="3"/>
        <v>1</v>
      </c>
      <c r="R12" t="str">
        <f t="shared" si="0"/>
        <v>On-time</v>
      </c>
      <c r="S12" t="str">
        <f>IF(AND(Table1[[#This Row],[Status]]="Late",Table1[[#This Row],[Region]]="North"),"CRITICAL DELAY","NORMAL")</f>
        <v>NORMAL</v>
      </c>
      <c r="T12" t="b">
        <f t="shared" si="4"/>
        <v>0</v>
      </c>
    </row>
    <row r="13" spans="1:20" x14ac:dyDescent="0.3">
      <c r="A13" s="1" t="s">
        <v>42</v>
      </c>
      <c r="B13" s="2">
        <v>45316</v>
      </c>
      <c r="C13" s="1" t="s">
        <v>43</v>
      </c>
      <c r="D13" s="1" t="s">
        <v>15</v>
      </c>
      <c r="E13" s="1">
        <v>3</v>
      </c>
      <c r="F13" s="2">
        <v>45327</v>
      </c>
      <c r="G13" s="1" t="s">
        <v>20</v>
      </c>
      <c r="H13" s="1"/>
      <c r="I13" s="1" t="str">
        <f>VLOOKUP(D13,Product_Master!$A$1:$F$8,2,FALSE)</f>
        <v>Ergo Office Chair</v>
      </c>
      <c r="J13" s="1" t="str">
        <f>INDEX(Product_Master!$A$1:$F$8,MATCH(Raw_orders!D13,Product_Master!$A$1:$A$8,0),3)</f>
        <v>Furniture</v>
      </c>
      <c r="K13" s="4">
        <f>_xlfn.XLOOKUP(D13,Product_Master!A:A,Product_Master!D:D,"Not Found",0)</f>
        <v>85</v>
      </c>
      <c r="L13" s="4">
        <f>_xlfn.XLOOKUP(D13,Product_Master!A:A,Product_Master!E:E,"Not Found")</f>
        <v>249.99</v>
      </c>
      <c r="M13" s="1" t="str">
        <f>IFERROR(VLOOKUP(C13,Customer_database!$A$1:$F$11,5,FALSE),"Unknown Item")</f>
        <v>Pam Beesly</v>
      </c>
      <c r="N13" s="1" t="str">
        <f>INDEX(Customer_database!$A$1:$F$11,MATCH(Raw_orders!C13,Customer_database!$A$1:$A$11,0),4)</f>
        <v>Silver</v>
      </c>
      <c r="O13" s="3">
        <f t="shared" si="1"/>
        <v>749.97</v>
      </c>
      <c r="P13" s="3">
        <f t="shared" si="2"/>
        <v>494.97</v>
      </c>
      <c r="Q13">
        <f t="shared" si="3"/>
        <v>11</v>
      </c>
      <c r="R13" t="str">
        <f t="shared" si="0"/>
        <v>Late</v>
      </c>
      <c r="S13" t="str">
        <f>IF(AND(Table1[[#This Row],[Status]]="Late",Table1[[#This Row],[Region]]="North"),"CRITICAL DELAY","NORMAL")</f>
        <v>NORMAL</v>
      </c>
      <c r="T13" t="b">
        <f t="shared" si="4"/>
        <v>0</v>
      </c>
    </row>
    <row r="14" spans="1:20" x14ac:dyDescent="0.3">
      <c r="A14" s="1" t="s">
        <v>44</v>
      </c>
      <c r="B14" s="2">
        <v>45317</v>
      </c>
      <c r="C14" s="1" t="s">
        <v>45</v>
      </c>
      <c r="D14" s="1" t="s">
        <v>29</v>
      </c>
      <c r="E14" s="1">
        <v>2</v>
      </c>
      <c r="F14" s="2">
        <v>45319</v>
      </c>
      <c r="G14" s="1" t="s">
        <v>30</v>
      </c>
      <c r="H14" s="1" t="s">
        <v>12</v>
      </c>
      <c r="I14" s="1" t="str">
        <f>VLOOKUP(D14,Product_Master!$A$1:$F$8,2,FALSE)</f>
        <v>Oak Standing Desk</v>
      </c>
      <c r="J14" s="1" t="str">
        <f>INDEX(Product_Master!$A$1:$F$8,MATCH(Raw_orders!D14,Product_Master!$A$1:$A$8,0),3)</f>
        <v>Furniture</v>
      </c>
      <c r="K14" s="4">
        <f>_xlfn.XLOOKUP(D14,Product_Master!A:A,Product_Master!D:D,"Not Found",0)</f>
        <v>160</v>
      </c>
      <c r="L14" s="4">
        <f>_xlfn.XLOOKUP(D14,Product_Master!A:A,Product_Master!E:E,"Not Found")</f>
        <v>450</v>
      </c>
      <c r="M14" s="1" t="str">
        <f>IFERROR(VLOOKUP(C14,Customer_database!$A$1:$F$11,5,FALSE),"Unknown Item")</f>
        <v>Stanley Hudson</v>
      </c>
      <c r="N14" s="1" t="str">
        <f>INDEX(Customer_database!$A$1:$F$11,MATCH(Raw_orders!C14,Customer_database!$A$1:$A$11,0),4)</f>
        <v>Silver</v>
      </c>
      <c r="O14" s="3">
        <f t="shared" si="1"/>
        <v>900</v>
      </c>
      <c r="P14" s="3">
        <f t="shared" si="2"/>
        <v>580</v>
      </c>
      <c r="Q14">
        <f t="shared" si="3"/>
        <v>2</v>
      </c>
      <c r="R14" t="str">
        <f t="shared" si="0"/>
        <v>On-time</v>
      </c>
      <c r="S14" t="str">
        <f>IF(AND(Table1[[#This Row],[Status]]="Late",Table1[[#This Row],[Region]]="North"),"CRITICAL DELAY","NORMAL")</f>
        <v>NORMAL</v>
      </c>
      <c r="T14" t="b">
        <f t="shared" si="4"/>
        <v>1</v>
      </c>
    </row>
    <row r="15" spans="1:20" x14ac:dyDescent="0.3">
      <c r="A15" s="1" t="s">
        <v>46</v>
      </c>
      <c r="B15" s="2">
        <v>45319</v>
      </c>
      <c r="C15" s="1" t="s">
        <v>23</v>
      </c>
      <c r="D15" s="1" t="s">
        <v>33</v>
      </c>
      <c r="E15" s="1">
        <v>1</v>
      </c>
      <c r="F15" s="2">
        <v>45324</v>
      </c>
      <c r="G15" s="1" t="s">
        <v>11</v>
      </c>
      <c r="H15" s="1"/>
      <c r="I15" s="1" t="str">
        <f>VLOOKUP(D15,Product_Master!$A$1:$F$8,2,FALSE)</f>
        <v>Smart LED Lamp</v>
      </c>
      <c r="J15" s="1" t="str">
        <f>INDEX(Product_Master!$A$1:$F$8,MATCH(Raw_orders!D15,Product_Master!$A$1:$A$8,0),3)</f>
        <v>Home Decor</v>
      </c>
      <c r="K15" s="4">
        <f>_xlfn.XLOOKUP(D15,Product_Master!A:A,Product_Master!D:D,"Not Found",0)</f>
        <v>15</v>
      </c>
      <c r="L15" s="4">
        <f>_xlfn.XLOOKUP(D15,Product_Master!A:A,Product_Master!E:E,"Not Found")</f>
        <v>45</v>
      </c>
      <c r="M15" s="1" t="str">
        <f>IFERROR(VLOOKUP(C15,Customer_database!$A$1:$F$11,5,FALSE),"Unknown Item")</f>
        <v>Dwight Schrute</v>
      </c>
      <c r="N15" s="1" t="str">
        <f>INDEX(Customer_database!$A$1:$F$11,MATCH(Raw_orders!C15,Customer_database!$A$1:$A$11,0),4)</f>
        <v>Silver</v>
      </c>
      <c r="O15" s="3">
        <f t="shared" si="1"/>
        <v>45</v>
      </c>
      <c r="P15" s="3">
        <f t="shared" si="2"/>
        <v>30</v>
      </c>
      <c r="Q15">
        <f t="shared" si="3"/>
        <v>5</v>
      </c>
      <c r="R15" t="str">
        <f t="shared" si="0"/>
        <v>On-time</v>
      </c>
      <c r="S15" t="str">
        <f>IF(AND(Table1[[#This Row],[Status]]="Late",Table1[[#This Row],[Region]]="North"),"CRITICAL DELAY","NORMAL")</f>
        <v>NORMAL</v>
      </c>
      <c r="T15" t="b">
        <f t="shared" si="4"/>
        <v>0</v>
      </c>
    </row>
    <row r="16" spans="1:20" x14ac:dyDescent="0.3">
      <c r="A16" s="1" t="s">
        <v>47</v>
      </c>
      <c r="B16" s="2">
        <v>45321</v>
      </c>
      <c r="C16" s="1" t="s">
        <v>9</v>
      </c>
      <c r="D16" s="1" t="s">
        <v>19</v>
      </c>
      <c r="E16" s="1">
        <v>5</v>
      </c>
      <c r="F16" s="2">
        <v>45323</v>
      </c>
      <c r="G16" s="1" t="s">
        <v>11</v>
      </c>
      <c r="H16" s="1" t="s">
        <v>26</v>
      </c>
      <c r="I16" s="1" t="str">
        <f>VLOOKUP(D16,Product_Master!$A$1:$F$8,2,FALSE)</f>
        <v>Mech Keyboard RGB</v>
      </c>
      <c r="J16" s="1" t="str">
        <f>INDEX(Product_Master!$A$1:$F$8,MATCH(Raw_orders!D16,Product_Master!$A$1:$A$8,0),3)</f>
        <v>Electronics</v>
      </c>
      <c r="K16" s="4">
        <f>_xlfn.XLOOKUP(D16,Product_Master!A:A,Product_Master!D:D,"Not Found",0)</f>
        <v>45</v>
      </c>
      <c r="L16" s="4">
        <f>_xlfn.XLOOKUP(D16,Product_Master!A:A,Product_Master!E:E,"Not Found")</f>
        <v>129.99</v>
      </c>
      <c r="M16" s="1" t="str">
        <f>IFERROR(VLOOKUP(C16,Customer_database!$A$1:$F$11,5,FALSE),"Unknown Item")</f>
        <v>John Smith</v>
      </c>
      <c r="N16" s="1" t="str">
        <f>INDEX(Customer_database!$A$1:$F$11,MATCH(Raw_orders!C16,Customer_database!$A$1:$A$11,0),4)</f>
        <v>Gold</v>
      </c>
      <c r="O16" s="3">
        <f t="shared" si="1"/>
        <v>649.95000000000005</v>
      </c>
      <c r="P16" s="3">
        <f t="shared" si="2"/>
        <v>424.95000000000005</v>
      </c>
      <c r="Q16">
        <f t="shared" si="3"/>
        <v>2</v>
      </c>
      <c r="R16" t="str">
        <f t="shared" si="0"/>
        <v>On-time</v>
      </c>
      <c r="S16" t="str">
        <f>IF(AND(Table1[[#This Row],[Status]]="Late",Table1[[#This Row],[Region]]="North"),"CRITICAL DELAY","NORMAL")</f>
        <v>NORMAL</v>
      </c>
      <c r="T16" t="b">
        <f t="shared" si="4"/>
        <v>1</v>
      </c>
    </row>
    <row r="17" spans="1:20" x14ac:dyDescent="0.3">
      <c r="A17" s="1" t="s">
        <v>8</v>
      </c>
      <c r="B17" s="2">
        <v>45294</v>
      </c>
      <c r="C17" s="1" t="s">
        <v>9</v>
      </c>
      <c r="D17" s="1" t="s">
        <v>10</v>
      </c>
      <c r="E17" s="1">
        <v>5</v>
      </c>
      <c r="F17" s="2">
        <v>45296</v>
      </c>
      <c r="G17" s="1" t="s">
        <v>11</v>
      </c>
      <c r="H17" s="1" t="s">
        <v>12</v>
      </c>
      <c r="I17" s="1" t="str">
        <f>VLOOKUP(D17,Product_Master!$A$1:$F$8,2,FALSE)</f>
        <v>Wireless Mouse X1</v>
      </c>
      <c r="J17" s="1" t="str">
        <f>INDEX(Product_Master!$A$1:$F$8,MATCH(Raw_orders!D17,Product_Master!$A$1:$A$8,0),3)</f>
        <v>Electronics</v>
      </c>
      <c r="K17" s="4">
        <f>_xlfn.XLOOKUP(D17,Product_Master!A:A,Product_Master!D:D,"Not Found",0)</f>
        <v>12.5</v>
      </c>
      <c r="L17" s="4">
        <f>_xlfn.XLOOKUP(D17,Product_Master!A:A,Product_Master!E:E,"Not Found")</f>
        <v>39.99</v>
      </c>
      <c r="M17" s="1" t="str">
        <f>IFERROR(VLOOKUP(C17,Customer_database!$A$1:$F$11,5,FALSE),"Unknown Item")</f>
        <v>John Smith</v>
      </c>
      <c r="N17" s="1" t="str">
        <f>INDEX(Customer_database!$A$1:$F$11,MATCH(Raw_orders!C17,Customer_database!$A$1:$A$11,0),4)</f>
        <v>Gold</v>
      </c>
      <c r="O17" s="3">
        <f t="shared" si="1"/>
        <v>199.95000000000002</v>
      </c>
      <c r="P17" s="3">
        <f t="shared" si="2"/>
        <v>137.45000000000002</v>
      </c>
      <c r="Q17">
        <f t="shared" si="3"/>
        <v>2</v>
      </c>
      <c r="R17" t="str">
        <f t="shared" si="0"/>
        <v>On-time</v>
      </c>
      <c r="S17" t="str">
        <f>IF(AND(Table1[[#This Row],[Status]]="Late",Table1[[#This Row],[Region]]="North"),"CRITICAL DELAY","NORMAL")</f>
        <v>NORMAL</v>
      </c>
      <c r="T17" t="b">
        <f t="shared" si="4"/>
        <v>1</v>
      </c>
    </row>
    <row r="18" spans="1:20" x14ac:dyDescent="0.3">
      <c r="A18" s="1" t="s">
        <v>13</v>
      </c>
      <c r="B18" s="2">
        <v>45295</v>
      </c>
      <c r="C18" s="1" t="s">
        <v>14</v>
      </c>
      <c r="D18" s="1" t="s">
        <v>15</v>
      </c>
      <c r="E18" s="1">
        <v>1</v>
      </c>
      <c r="F18" s="2">
        <v>45299</v>
      </c>
      <c r="G18" s="1" t="s">
        <v>16</v>
      </c>
      <c r="H18" s="1"/>
      <c r="I18" s="1" t="str">
        <f>VLOOKUP(D18,Product_Master!$A$1:$F$8,2,FALSE)</f>
        <v>Ergo Office Chair</v>
      </c>
      <c r="J18" s="1" t="str">
        <f>INDEX(Product_Master!$A$1:$F$8,MATCH(Raw_orders!D18,Product_Master!$A$1:$A$8,0),3)</f>
        <v>Furniture</v>
      </c>
      <c r="K18" s="4">
        <f>_xlfn.XLOOKUP(D18,Product_Master!A:A,Product_Master!D:D,"Not Found",0)</f>
        <v>85</v>
      </c>
      <c r="L18" s="4">
        <f>_xlfn.XLOOKUP(D18,Product_Master!A:A,Product_Master!E:E,"Not Found")</f>
        <v>249.99</v>
      </c>
      <c r="M18" s="1" t="str">
        <f>IFERROR(VLOOKUP(C18,Customer_database!$A$1:$F$11,5,FALSE),"Unknown Item")</f>
        <v>Emily Blunt</v>
      </c>
      <c r="N18" s="1" t="str">
        <f>INDEX(Customer_database!$A$1:$F$11,MATCH(Raw_orders!C18,Customer_database!$A$1:$A$11,0),4)</f>
        <v>Bronze</v>
      </c>
      <c r="O18" s="3">
        <f t="shared" si="1"/>
        <v>249.99</v>
      </c>
      <c r="P18" s="3">
        <f t="shared" si="2"/>
        <v>164.99</v>
      </c>
      <c r="Q18">
        <f t="shared" si="3"/>
        <v>4</v>
      </c>
      <c r="R18" t="str">
        <f t="shared" si="0"/>
        <v>On-time</v>
      </c>
      <c r="S18" t="str">
        <f>IF(AND(Table1[[#This Row],[Status]]="Late",Table1[[#This Row],[Region]]="North"),"CRITICAL DELAY","NORMAL")</f>
        <v>NORMAL</v>
      </c>
      <c r="T18" t="b">
        <f t="shared" si="4"/>
        <v>0</v>
      </c>
    </row>
    <row r="19" spans="1:20" x14ac:dyDescent="0.3">
      <c r="A19" s="1" t="s">
        <v>17</v>
      </c>
      <c r="B19" s="2">
        <v>45297</v>
      </c>
      <c r="C19" s="1" t="s">
        <v>18</v>
      </c>
      <c r="D19" s="1" t="s">
        <v>19</v>
      </c>
      <c r="E19" s="1">
        <v>10</v>
      </c>
      <c r="F19" s="2">
        <v>45305</v>
      </c>
      <c r="G19" s="1" t="s">
        <v>20</v>
      </c>
      <c r="H19" s="1" t="s">
        <v>21</v>
      </c>
      <c r="I19" s="1" t="str">
        <f>VLOOKUP(D19,Product_Master!$A$1:$F$8,2,FALSE)</f>
        <v>Mech Keyboard RGB</v>
      </c>
      <c r="J19" s="1" t="str">
        <f>INDEX(Product_Master!$A$1:$F$8,MATCH(Raw_orders!D19,Product_Master!$A$1:$A$8,0),3)</f>
        <v>Electronics</v>
      </c>
      <c r="K19" s="4">
        <f>_xlfn.XLOOKUP(D19,Product_Master!A:A,Product_Master!D:D,"Not Found",0)</f>
        <v>45</v>
      </c>
      <c r="L19" s="4">
        <f>_xlfn.XLOOKUP(D19,Product_Master!A:A,Product_Master!E:E,"Not Found")</f>
        <v>129.99</v>
      </c>
      <c r="M19" s="1" t="str">
        <f>IFERROR(VLOOKUP(C19,Customer_database!$A$1:$F$11,5,FALSE),"Unknown Item")</f>
        <v>Sarah Connor</v>
      </c>
      <c r="N19" s="1" t="str">
        <f>INDEX(Customer_database!$A$1:$F$11,MATCH(Raw_orders!C19,Customer_database!$A$1:$A$11,0),4)</f>
        <v>Silver</v>
      </c>
      <c r="O19" s="3">
        <f t="shared" si="1"/>
        <v>1299.9000000000001</v>
      </c>
      <c r="P19" s="3">
        <f t="shared" si="2"/>
        <v>849.90000000000009</v>
      </c>
      <c r="Q19">
        <f t="shared" si="3"/>
        <v>8</v>
      </c>
      <c r="R19" t="str">
        <f t="shared" si="0"/>
        <v>Late</v>
      </c>
      <c r="S19" t="str">
        <f>IF(AND(Table1[[#This Row],[Status]]="Late",Table1[[#This Row],[Region]]="North"),"CRITICAL DELAY","NORMAL")</f>
        <v>NORMAL</v>
      </c>
      <c r="T19" t="b">
        <f t="shared" si="4"/>
        <v>0</v>
      </c>
    </row>
    <row r="20" spans="1:20" x14ac:dyDescent="0.3">
      <c r="A20" s="1" t="s">
        <v>22</v>
      </c>
      <c r="B20" s="2">
        <v>45299</v>
      </c>
      <c r="C20" s="1" t="s">
        <v>23</v>
      </c>
      <c r="D20" s="1" t="s">
        <v>24</v>
      </c>
      <c r="E20" s="1">
        <v>2</v>
      </c>
      <c r="F20" s="2">
        <v>45300</v>
      </c>
      <c r="G20" s="1" t="s">
        <v>11</v>
      </c>
      <c r="H20" s="1"/>
      <c r="I20" s="1" t="str">
        <f>VLOOKUP(D20,Product_Master!$A$1:$F$8,2,FALSE)</f>
        <v>Dual Monitor Arm</v>
      </c>
      <c r="J20" s="1" t="str">
        <f>INDEX(Product_Master!$A$1:$F$8,MATCH(Raw_orders!D20,Product_Master!$A$1:$A$8,0),3)</f>
        <v>Electronics</v>
      </c>
      <c r="K20" s="4">
        <f>_xlfn.XLOOKUP(D20,Product_Master!A:A,Product_Master!D:D,"Not Found",0)</f>
        <v>25</v>
      </c>
      <c r="L20" s="4">
        <f>_xlfn.XLOOKUP(D20,Product_Master!A:A,Product_Master!E:E,"Not Found")</f>
        <v>75</v>
      </c>
      <c r="M20" s="1" t="str">
        <f>IFERROR(VLOOKUP(C20,Customer_database!$A$1:$F$11,5,FALSE),"Unknown Item")</f>
        <v>Dwight Schrute</v>
      </c>
      <c r="N20" s="1" t="str">
        <f>INDEX(Customer_database!$A$1:$F$11,MATCH(Raw_orders!C20,Customer_database!$A$1:$A$11,0),4)</f>
        <v>Silver</v>
      </c>
      <c r="O20" s="3">
        <f t="shared" si="1"/>
        <v>150</v>
      </c>
      <c r="P20" s="3">
        <f t="shared" si="2"/>
        <v>100</v>
      </c>
      <c r="Q20">
        <f t="shared" si="3"/>
        <v>1</v>
      </c>
      <c r="R20" t="str">
        <f t="shared" si="0"/>
        <v>On-time</v>
      </c>
      <c r="S20" t="str">
        <f>IF(AND(Table1[[#This Row],[Status]]="Late",Table1[[#This Row],[Region]]="North"),"CRITICAL DELAY","NORMAL")</f>
        <v>NORMAL</v>
      </c>
      <c r="T20" t="b">
        <f t="shared" si="4"/>
        <v>0</v>
      </c>
    </row>
    <row r="21" spans="1:20" x14ac:dyDescent="0.3">
      <c r="A21" s="1" t="s">
        <v>25</v>
      </c>
      <c r="B21" s="2">
        <v>45301</v>
      </c>
      <c r="C21" s="1" t="s">
        <v>9</v>
      </c>
      <c r="D21" s="1" t="s">
        <v>10</v>
      </c>
      <c r="E21" s="1">
        <v>1</v>
      </c>
      <c r="F21" s="2">
        <v>45303</v>
      </c>
      <c r="G21" s="1" t="s">
        <v>11</v>
      </c>
      <c r="H21" s="1" t="s">
        <v>26</v>
      </c>
      <c r="I21" s="1" t="str">
        <f>VLOOKUP(D21,Product_Master!$A$1:$F$8,2,FALSE)</f>
        <v>Wireless Mouse X1</v>
      </c>
      <c r="J21" s="1" t="str">
        <f>INDEX(Product_Master!$A$1:$F$8,MATCH(Raw_orders!D21,Product_Master!$A$1:$A$8,0),3)</f>
        <v>Electronics</v>
      </c>
      <c r="K21" s="4">
        <f>_xlfn.XLOOKUP(D21,Product_Master!A:A,Product_Master!D:D,"Not Found",0)</f>
        <v>12.5</v>
      </c>
      <c r="L21" s="4">
        <f>_xlfn.XLOOKUP(D21,Product_Master!A:A,Product_Master!E:E,"Not Found")</f>
        <v>39.99</v>
      </c>
      <c r="M21" s="1" t="str">
        <f>IFERROR(VLOOKUP(C21,Customer_database!$A$1:$F$11,5,FALSE),"Unknown Item")</f>
        <v>John Smith</v>
      </c>
      <c r="N21" s="1" t="str">
        <f>INDEX(Customer_database!$A$1:$F$11,MATCH(Raw_orders!C21,Customer_database!$A$1:$A$11,0),4)</f>
        <v>Gold</v>
      </c>
      <c r="O21" s="3">
        <f t="shared" si="1"/>
        <v>39.99</v>
      </c>
      <c r="P21" s="3">
        <f t="shared" si="2"/>
        <v>27.490000000000002</v>
      </c>
      <c r="Q21">
        <f t="shared" si="3"/>
        <v>2</v>
      </c>
      <c r="R21" t="str">
        <f t="shared" si="0"/>
        <v>On-time</v>
      </c>
      <c r="S21" t="str">
        <f>IF(AND(Table1[[#This Row],[Status]]="Late",Table1[[#This Row],[Region]]="North"),"CRITICAL DELAY","NORMAL")</f>
        <v>NORMAL</v>
      </c>
      <c r="T21" t="b">
        <f t="shared" si="4"/>
        <v>1</v>
      </c>
    </row>
    <row r="22" spans="1:20" x14ac:dyDescent="0.3">
      <c r="A22" s="1" t="s">
        <v>27</v>
      </c>
      <c r="B22" s="2">
        <v>45303</v>
      </c>
      <c r="C22" s="1" t="s">
        <v>28</v>
      </c>
      <c r="D22" s="1" t="s">
        <v>29</v>
      </c>
      <c r="E22" s="1">
        <v>3</v>
      </c>
      <c r="F22" s="2">
        <v>45310</v>
      </c>
      <c r="G22" s="1" t="s">
        <v>30</v>
      </c>
      <c r="H22" s="1" t="s">
        <v>12</v>
      </c>
      <c r="I22" s="1" t="str">
        <f>VLOOKUP(D22,Product_Master!$A$1:$F$8,2,FALSE)</f>
        <v>Oak Standing Desk</v>
      </c>
      <c r="J22" s="1" t="str">
        <f>INDEX(Product_Master!$A$1:$F$8,MATCH(Raw_orders!D22,Product_Master!$A$1:$A$8,0),3)</f>
        <v>Furniture</v>
      </c>
      <c r="K22" s="4">
        <f>_xlfn.XLOOKUP(D22,Product_Master!A:A,Product_Master!D:D,"Not Found",0)</f>
        <v>160</v>
      </c>
      <c r="L22" s="4">
        <f>_xlfn.XLOOKUP(D22,Product_Master!A:A,Product_Master!E:E,"Not Found")</f>
        <v>450</v>
      </c>
      <c r="M22" s="1" t="str">
        <f>IFERROR(VLOOKUP(C22,Customer_database!$A$1:$F$11,5,FALSE),"Unknown Item")</f>
        <v>Michael Scott</v>
      </c>
      <c r="N22" s="1" t="str">
        <f>INDEX(Customer_database!$A$1:$F$11,MATCH(Raw_orders!C22,Customer_database!$A$1:$A$11,0),4)</f>
        <v>Gold</v>
      </c>
      <c r="O22" s="3">
        <f t="shared" si="1"/>
        <v>1350</v>
      </c>
      <c r="P22" s="3">
        <f t="shared" si="2"/>
        <v>870</v>
      </c>
      <c r="Q22">
        <f t="shared" si="3"/>
        <v>7</v>
      </c>
      <c r="R22" t="str">
        <f t="shared" si="0"/>
        <v>Late</v>
      </c>
      <c r="S22" t="str">
        <f>IF(AND(Table1[[#This Row],[Status]]="Late",Table1[[#This Row],[Region]]="North"),"CRITICAL DELAY","NORMAL")</f>
        <v>NORMAL</v>
      </c>
      <c r="T22" t="b">
        <f t="shared" si="4"/>
        <v>1</v>
      </c>
    </row>
    <row r="23" spans="1:20" x14ac:dyDescent="0.3">
      <c r="A23" s="1" t="s">
        <v>31</v>
      </c>
      <c r="B23" s="2">
        <v>45306</v>
      </c>
      <c r="C23" s="1" t="s">
        <v>32</v>
      </c>
      <c r="D23" s="1" t="s">
        <v>33</v>
      </c>
      <c r="E23" s="1">
        <v>4</v>
      </c>
      <c r="F23" s="2">
        <v>45313</v>
      </c>
      <c r="G23" s="1" t="s">
        <v>16</v>
      </c>
      <c r="H23" s="1"/>
      <c r="I23" s="1" t="str">
        <f>VLOOKUP(D23,Product_Master!$A$1:$F$8,2,FALSE)</f>
        <v>Smart LED Lamp</v>
      </c>
      <c r="J23" s="1" t="str">
        <f>INDEX(Product_Master!$A$1:$F$8,MATCH(Raw_orders!D23,Product_Master!$A$1:$A$8,0),3)</f>
        <v>Home Decor</v>
      </c>
      <c r="K23" s="4">
        <f>_xlfn.XLOOKUP(D23,Product_Master!A:A,Product_Master!D:D,"Not Found",0)</f>
        <v>15</v>
      </c>
      <c r="L23" s="4">
        <f>_xlfn.XLOOKUP(D23,Product_Master!A:A,Product_Master!E:E,"Not Found")</f>
        <v>45</v>
      </c>
      <c r="M23" s="1" t="str">
        <f>IFERROR(VLOOKUP(C23,Customer_database!$A$1:$F$11,5,FALSE),"Unknown Item")</f>
        <v>Jim Halpert</v>
      </c>
      <c r="N23" s="1" t="str">
        <f>INDEX(Customer_database!$A$1:$F$11,MATCH(Raw_orders!C23,Customer_database!$A$1:$A$11,0),4)</f>
        <v>Bronze</v>
      </c>
      <c r="O23" s="3">
        <f t="shared" si="1"/>
        <v>180</v>
      </c>
      <c r="P23" s="3">
        <f t="shared" si="2"/>
        <v>120</v>
      </c>
      <c r="Q23">
        <f t="shared" si="3"/>
        <v>7</v>
      </c>
      <c r="R23" t="str">
        <f t="shared" si="0"/>
        <v>Late</v>
      </c>
      <c r="S23" t="str">
        <f>IF(AND(Table1[[#This Row],[Status]]="Late",Table1[[#This Row],[Region]]="North"),"CRITICAL DELAY","NORMAL")</f>
        <v>NORMAL</v>
      </c>
      <c r="T23" t="b">
        <f t="shared" si="4"/>
        <v>0</v>
      </c>
    </row>
    <row r="24" spans="1:20" x14ac:dyDescent="0.3">
      <c r="A24" s="1" t="s">
        <v>34</v>
      </c>
      <c r="B24" s="2">
        <v>45307</v>
      </c>
      <c r="C24" s="1" t="s">
        <v>18</v>
      </c>
      <c r="D24" s="1" t="s">
        <v>19</v>
      </c>
      <c r="E24" s="1">
        <v>6</v>
      </c>
      <c r="F24" s="2">
        <v>45309</v>
      </c>
      <c r="G24" s="1" t="s">
        <v>20</v>
      </c>
      <c r="H24" s="1"/>
      <c r="I24" s="1" t="str">
        <f>VLOOKUP(D24,Product_Master!$A$1:$F$8,2,FALSE)</f>
        <v>Mech Keyboard RGB</v>
      </c>
      <c r="J24" s="1" t="str">
        <f>INDEX(Product_Master!$A$1:$F$8,MATCH(Raw_orders!D24,Product_Master!$A$1:$A$8,0),3)</f>
        <v>Electronics</v>
      </c>
      <c r="K24" s="4">
        <f>_xlfn.XLOOKUP(D24,Product_Master!A:A,Product_Master!D:D,"Not Found",0)</f>
        <v>45</v>
      </c>
      <c r="L24" s="4">
        <f>_xlfn.XLOOKUP(D24,Product_Master!A:A,Product_Master!E:E,"Not Found")</f>
        <v>129.99</v>
      </c>
      <c r="M24" s="1" t="str">
        <f>IFERROR(VLOOKUP(C24,Customer_database!$A$1:$F$11,5,FALSE),"Unknown Item")</f>
        <v>Sarah Connor</v>
      </c>
      <c r="N24" s="1" t="str">
        <f>INDEX(Customer_database!$A$1:$F$11,MATCH(Raw_orders!C24,Customer_database!$A$1:$A$11,0),4)</f>
        <v>Silver</v>
      </c>
      <c r="O24" s="3">
        <f t="shared" si="1"/>
        <v>779.94</v>
      </c>
      <c r="P24" s="3">
        <f t="shared" si="2"/>
        <v>509.94000000000005</v>
      </c>
      <c r="Q24">
        <f t="shared" si="3"/>
        <v>2</v>
      </c>
      <c r="R24" t="str">
        <f t="shared" si="0"/>
        <v>On-time</v>
      </c>
      <c r="S24" t="str">
        <f>IF(AND(Table1[[#This Row],[Status]]="Late",Table1[[#This Row],[Region]]="North"),"CRITICAL DELAY","NORMAL")</f>
        <v>NORMAL</v>
      </c>
      <c r="T24" t="b">
        <f t="shared" si="4"/>
        <v>0</v>
      </c>
    </row>
    <row r="25" spans="1:20" x14ac:dyDescent="0.3">
      <c r="A25" s="1" t="s">
        <v>35</v>
      </c>
      <c r="B25" s="2">
        <v>45309</v>
      </c>
      <c r="C25" s="1" t="s">
        <v>36</v>
      </c>
      <c r="D25" s="1" t="s">
        <v>15</v>
      </c>
      <c r="E25" s="1">
        <v>2</v>
      </c>
      <c r="F25" s="2">
        <v>45320</v>
      </c>
      <c r="G25" s="1" t="s">
        <v>30</v>
      </c>
      <c r="H25" s="1" t="s">
        <v>37</v>
      </c>
      <c r="I25" s="1" t="str">
        <f>VLOOKUP(D25,Product_Master!$A$1:$F$8,2,FALSE)</f>
        <v>Ergo Office Chair</v>
      </c>
      <c r="J25" s="1" t="str">
        <f>INDEX(Product_Master!$A$1:$F$8,MATCH(Raw_orders!D25,Product_Master!$A$1:$A$8,0),3)</f>
        <v>Furniture</v>
      </c>
      <c r="K25" s="4">
        <f>_xlfn.XLOOKUP(D25,Product_Master!A:A,Product_Master!D:D,"Not Found",0)</f>
        <v>85</v>
      </c>
      <c r="L25" s="4">
        <f>_xlfn.XLOOKUP(D25,Product_Master!A:A,Product_Master!E:E,"Not Found")</f>
        <v>249.99</v>
      </c>
      <c r="M25" s="1" t="str">
        <f>IFERROR(VLOOKUP(C25,Customer_database!$A$1:$F$11,5,FALSE),"Unknown Item")</f>
        <v>Ryan Howard</v>
      </c>
      <c r="N25" s="1" t="str">
        <f>INDEX(Customer_database!$A$1:$F$11,MATCH(Raw_orders!C25,Customer_database!$A$1:$A$11,0),4)</f>
        <v>Bronze</v>
      </c>
      <c r="O25" s="3">
        <f t="shared" si="1"/>
        <v>499.98</v>
      </c>
      <c r="P25" s="3">
        <f t="shared" si="2"/>
        <v>329.98</v>
      </c>
      <c r="Q25">
        <f t="shared" si="3"/>
        <v>11</v>
      </c>
      <c r="R25" t="str">
        <f t="shared" si="0"/>
        <v>Late</v>
      </c>
      <c r="S25" t="str">
        <f>IF(AND(Table1[[#This Row],[Status]]="Late",Table1[[#This Row],[Region]]="North"),"CRITICAL DELAY","NORMAL")</f>
        <v>NORMAL</v>
      </c>
      <c r="T25" t="b">
        <f t="shared" si="4"/>
        <v>0</v>
      </c>
    </row>
    <row r="26" spans="1:20" x14ac:dyDescent="0.3">
      <c r="A26" s="1" t="s">
        <v>38</v>
      </c>
      <c r="B26" s="2">
        <v>45311</v>
      </c>
      <c r="C26" s="1" t="s">
        <v>14</v>
      </c>
      <c r="D26" s="1" t="s">
        <v>24</v>
      </c>
      <c r="E26" s="1">
        <v>1</v>
      </c>
      <c r="F26" s="2">
        <v>45312</v>
      </c>
      <c r="G26" s="1" t="s">
        <v>16</v>
      </c>
      <c r="H26" s="1"/>
      <c r="I26" s="1" t="str">
        <f>VLOOKUP(D26,Product_Master!$A$1:$F$8,2,FALSE)</f>
        <v>Dual Monitor Arm</v>
      </c>
      <c r="J26" s="1" t="str">
        <f>INDEX(Product_Master!$A$1:$F$8,MATCH(Raw_orders!D26,Product_Master!$A$1:$A$8,0),3)</f>
        <v>Electronics</v>
      </c>
      <c r="K26" s="4">
        <f>_xlfn.XLOOKUP(D26,Product_Master!A:A,Product_Master!D:D,"Not Found",0)</f>
        <v>25</v>
      </c>
      <c r="L26" s="4">
        <f>_xlfn.XLOOKUP(D26,Product_Master!A:A,Product_Master!E:E,"Not Found")</f>
        <v>75</v>
      </c>
      <c r="M26" s="1" t="str">
        <f>IFERROR(VLOOKUP(C26,Customer_database!$A$1:$F$11,5,FALSE),"Unknown Item")</f>
        <v>Emily Blunt</v>
      </c>
      <c r="N26" s="1" t="str">
        <f>INDEX(Customer_database!$A$1:$F$11,MATCH(Raw_orders!C26,Customer_database!$A$1:$A$11,0),4)</f>
        <v>Bronze</v>
      </c>
      <c r="O26" s="3">
        <f t="shared" si="1"/>
        <v>75</v>
      </c>
      <c r="P26" s="3">
        <f t="shared" si="2"/>
        <v>50</v>
      </c>
      <c r="Q26">
        <f t="shared" si="3"/>
        <v>1</v>
      </c>
      <c r="R26" t="str">
        <f t="shared" si="0"/>
        <v>On-time</v>
      </c>
      <c r="S26" t="str">
        <f>IF(AND(Table1[[#This Row],[Status]]="Late",Table1[[#This Row],[Region]]="North"),"CRITICAL DELAY","NORMAL")</f>
        <v>NORMAL</v>
      </c>
      <c r="T26" t="b">
        <f t="shared" si="4"/>
        <v>0</v>
      </c>
    </row>
    <row r="27" spans="1:20" x14ac:dyDescent="0.3">
      <c r="A27" s="1" t="s">
        <v>39</v>
      </c>
      <c r="B27" s="2">
        <v>45313</v>
      </c>
      <c r="C27" s="1" t="s">
        <v>40</v>
      </c>
      <c r="D27" s="1" t="s">
        <v>10</v>
      </c>
      <c r="E27" s="1">
        <v>20</v>
      </c>
      <c r="F27" s="2">
        <v>45314</v>
      </c>
      <c r="G27" s="1" t="s">
        <v>11</v>
      </c>
      <c r="H27" s="1" t="s">
        <v>41</v>
      </c>
      <c r="I27" s="1" t="str">
        <f>VLOOKUP(D27,Product_Master!$A$1:$F$8,2,FALSE)</f>
        <v>Wireless Mouse X1</v>
      </c>
      <c r="J27" s="1" t="str">
        <f>INDEX(Product_Master!$A$1:$F$8,MATCH(Raw_orders!D27,Product_Master!$A$1:$A$8,0),3)</f>
        <v>Electronics</v>
      </c>
      <c r="K27" s="4">
        <f>_xlfn.XLOOKUP(D27,Product_Master!A:A,Product_Master!D:D,"Not Found",0)</f>
        <v>12.5</v>
      </c>
      <c r="L27" s="4">
        <f>_xlfn.XLOOKUP(D27,Product_Master!A:A,Product_Master!E:E,"Not Found")</f>
        <v>39.99</v>
      </c>
      <c r="M27" s="1" t="str">
        <f>IFERROR(VLOOKUP(C27,Customer_database!$A$1:$F$11,5,FALSE),"Unknown Item")</f>
        <v>Creed Bratton</v>
      </c>
      <c r="N27" s="1" t="str">
        <f>INDEX(Customer_database!$A$1:$F$11,MATCH(Raw_orders!C27,Customer_database!$A$1:$A$11,0),4)</f>
        <v>Gold</v>
      </c>
      <c r="O27" s="3">
        <f t="shared" si="1"/>
        <v>799.80000000000007</v>
      </c>
      <c r="P27" s="3">
        <f t="shared" si="2"/>
        <v>549.80000000000007</v>
      </c>
      <c r="Q27">
        <f t="shared" si="3"/>
        <v>1</v>
      </c>
      <c r="R27" t="str">
        <f t="shared" si="0"/>
        <v>On-time</v>
      </c>
      <c r="S27" t="str">
        <f>IF(AND(Table1[[#This Row],[Status]]="Late",Table1[[#This Row],[Region]]="North"),"CRITICAL DELAY","NORMAL")</f>
        <v>NORMAL</v>
      </c>
      <c r="T27" t="b">
        <f t="shared" si="4"/>
        <v>0</v>
      </c>
    </row>
    <row r="28" spans="1:20" x14ac:dyDescent="0.3">
      <c r="A28" s="1" t="s">
        <v>42</v>
      </c>
      <c r="B28" s="2">
        <v>45316</v>
      </c>
      <c r="C28" s="1" t="s">
        <v>43</v>
      </c>
      <c r="D28" s="1" t="s">
        <v>15</v>
      </c>
      <c r="E28" s="1">
        <v>3</v>
      </c>
      <c r="F28" s="2">
        <v>45327</v>
      </c>
      <c r="G28" s="1" t="s">
        <v>20</v>
      </c>
      <c r="H28" s="1"/>
      <c r="I28" s="1" t="str">
        <f>VLOOKUP(D28,Product_Master!$A$1:$F$8,2,FALSE)</f>
        <v>Ergo Office Chair</v>
      </c>
      <c r="J28" s="1" t="str">
        <f>INDEX(Product_Master!$A$1:$F$8,MATCH(Raw_orders!D28,Product_Master!$A$1:$A$8,0),3)</f>
        <v>Furniture</v>
      </c>
      <c r="K28" s="4">
        <f>_xlfn.XLOOKUP(D28,Product_Master!A:A,Product_Master!D:D,"Not Found",0)</f>
        <v>85</v>
      </c>
      <c r="L28" s="4">
        <f>_xlfn.XLOOKUP(D28,Product_Master!A:A,Product_Master!E:E,"Not Found")</f>
        <v>249.99</v>
      </c>
      <c r="M28" s="1" t="str">
        <f>IFERROR(VLOOKUP(C28,Customer_database!$A$1:$F$11,5,FALSE),"Unknown Item")</f>
        <v>Pam Beesly</v>
      </c>
      <c r="N28" s="1" t="str">
        <f>INDEX(Customer_database!$A$1:$F$11,MATCH(Raw_orders!C28,Customer_database!$A$1:$A$11,0),4)</f>
        <v>Silver</v>
      </c>
      <c r="O28" s="3">
        <f t="shared" si="1"/>
        <v>749.97</v>
      </c>
      <c r="P28" s="3">
        <f t="shared" si="2"/>
        <v>494.97</v>
      </c>
      <c r="Q28">
        <f t="shared" si="3"/>
        <v>11</v>
      </c>
      <c r="R28" t="str">
        <f t="shared" si="0"/>
        <v>Late</v>
      </c>
      <c r="S28" t="str">
        <f>IF(AND(Table1[[#This Row],[Status]]="Late",Table1[[#This Row],[Region]]="North"),"CRITICAL DELAY","NORMAL")</f>
        <v>NORMAL</v>
      </c>
      <c r="T28" t="b">
        <f t="shared" si="4"/>
        <v>0</v>
      </c>
    </row>
    <row r="29" spans="1:20" x14ac:dyDescent="0.3">
      <c r="A29" s="1" t="s">
        <v>44</v>
      </c>
      <c r="B29" s="2">
        <v>45317</v>
      </c>
      <c r="C29" s="1" t="s">
        <v>45</v>
      </c>
      <c r="D29" s="1" t="s">
        <v>29</v>
      </c>
      <c r="E29" s="1">
        <v>2</v>
      </c>
      <c r="F29" s="2">
        <v>45319</v>
      </c>
      <c r="G29" s="1" t="s">
        <v>30</v>
      </c>
      <c r="H29" s="1" t="s">
        <v>12</v>
      </c>
      <c r="I29" s="1" t="str">
        <f>VLOOKUP(D29,Product_Master!$A$1:$F$8,2,FALSE)</f>
        <v>Oak Standing Desk</v>
      </c>
      <c r="J29" s="1" t="str">
        <f>INDEX(Product_Master!$A$1:$F$8,MATCH(Raw_orders!D29,Product_Master!$A$1:$A$8,0),3)</f>
        <v>Furniture</v>
      </c>
      <c r="K29" s="4">
        <f>_xlfn.XLOOKUP(D29,Product_Master!A:A,Product_Master!D:D,"Not Found",0)</f>
        <v>160</v>
      </c>
      <c r="L29" s="4">
        <f>_xlfn.XLOOKUP(D29,Product_Master!A:A,Product_Master!E:E,"Not Found")</f>
        <v>450</v>
      </c>
      <c r="M29" s="1" t="str">
        <f>IFERROR(VLOOKUP(C29,Customer_database!$A$1:$F$11,5,FALSE),"Unknown Item")</f>
        <v>Stanley Hudson</v>
      </c>
      <c r="N29" s="1" t="str">
        <f>INDEX(Customer_database!$A$1:$F$11,MATCH(Raw_orders!C29,Customer_database!$A$1:$A$11,0),4)</f>
        <v>Silver</v>
      </c>
      <c r="O29" s="3">
        <f t="shared" si="1"/>
        <v>900</v>
      </c>
      <c r="P29" s="3">
        <f t="shared" si="2"/>
        <v>580</v>
      </c>
      <c r="Q29">
        <f t="shared" si="3"/>
        <v>2</v>
      </c>
      <c r="R29" t="str">
        <f t="shared" si="0"/>
        <v>On-time</v>
      </c>
      <c r="S29" t="str">
        <f>IF(AND(Table1[[#This Row],[Status]]="Late",Table1[[#This Row],[Region]]="North"),"CRITICAL DELAY","NORMAL")</f>
        <v>NORMAL</v>
      </c>
      <c r="T29" t="b">
        <f t="shared" si="4"/>
        <v>1</v>
      </c>
    </row>
    <row r="30" spans="1:20" x14ac:dyDescent="0.3">
      <c r="A30" s="1" t="s">
        <v>46</v>
      </c>
      <c r="B30" s="2">
        <v>45319</v>
      </c>
      <c r="C30" s="1" t="s">
        <v>23</v>
      </c>
      <c r="D30" s="1" t="s">
        <v>33</v>
      </c>
      <c r="E30" s="1">
        <v>1</v>
      </c>
      <c r="F30" s="2">
        <v>45324</v>
      </c>
      <c r="G30" s="1" t="s">
        <v>11</v>
      </c>
      <c r="H30" s="1"/>
      <c r="I30" s="1" t="str">
        <f>VLOOKUP(D30,Product_Master!$A$1:$F$8,2,FALSE)</f>
        <v>Smart LED Lamp</v>
      </c>
      <c r="J30" s="1" t="str">
        <f>INDEX(Product_Master!$A$1:$F$8,MATCH(Raw_orders!D30,Product_Master!$A$1:$A$8,0),3)</f>
        <v>Home Decor</v>
      </c>
      <c r="K30" s="4">
        <f>_xlfn.XLOOKUP(D30,Product_Master!A:A,Product_Master!D:D,"Not Found",0)</f>
        <v>15</v>
      </c>
      <c r="L30" s="4">
        <f>_xlfn.XLOOKUP(D30,Product_Master!A:A,Product_Master!E:E,"Not Found")</f>
        <v>45</v>
      </c>
      <c r="M30" s="1" t="str">
        <f>IFERROR(VLOOKUP(C30,Customer_database!$A$1:$F$11,5,FALSE),"Unknown Item")</f>
        <v>Dwight Schrute</v>
      </c>
      <c r="N30" s="1" t="str">
        <f>INDEX(Customer_database!$A$1:$F$11,MATCH(Raw_orders!C30,Customer_database!$A$1:$A$11,0),4)</f>
        <v>Silver</v>
      </c>
      <c r="O30" s="3">
        <f t="shared" si="1"/>
        <v>45</v>
      </c>
      <c r="P30" s="3">
        <f t="shared" si="2"/>
        <v>30</v>
      </c>
      <c r="Q30">
        <f t="shared" si="3"/>
        <v>5</v>
      </c>
      <c r="R30" t="str">
        <f t="shared" si="0"/>
        <v>On-time</v>
      </c>
      <c r="S30" t="str">
        <f>IF(AND(Table1[[#This Row],[Status]]="Late",Table1[[#This Row],[Region]]="North"),"CRITICAL DELAY","NORMAL")</f>
        <v>NORMAL</v>
      </c>
      <c r="T30" t="b">
        <f t="shared" si="4"/>
        <v>0</v>
      </c>
    </row>
    <row r="31" spans="1:20" x14ac:dyDescent="0.3">
      <c r="A31" s="1" t="s">
        <v>47</v>
      </c>
      <c r="B31" s="2">
        <v>45321</v>
      </c>
      <c r="C31" s="1" t="s">
        <v>9</v>
      </c>
      <c r="D31" s="1" t="s">
        <v>19</v>
      </c>
      <c r="E31" s="1">
        <v>5</v>
      </c>
      <c r="F31" s="2">
        <v>45323</v>
      </c>
      <c r="G31" s="1" t="s">
        <v>11</v>
      </c>
      <c r="H31" s="1" t="s">
        <v>26</v>
      </c>
      <c r="I31" s="1" t="str">
        <f>VLOOKUP(D31,Product_Master!$A$1:$F$8,2,FALSE)</f>
        <v>Mech Keyboard RGB</v>
      </c>
      <c r="J31" s="1" t="str">
        <f>INDEX(Product_Master!$A$1:$F$8,MATCH(Raw_orders!D31,Product_Master!$A$1:$A$8,0),3)</f>
        <v>Electronics</v>
      </c>
      <c r="K31" s="4">
        <f>_xlfn.XLOOKUP(D31,Product_Master!A:A,Product_Master!D:D,"Not Found",0)</f>
        <v>45</v>
      </c>
      <c r="L31" s="4">
        <f>_xlfn.XLOOKUP(D31,Product_Master!A:A,Product_Master!E:E,"Not Found")</f>
        <v>129.99</v>
      </c>
      <c r="M31" s="1" t="str">
        <f>IFERROR(VLOOKUP(C31,Customer_database!$A$1:$F$11,5,FALSE),"Unknown Item")</f>
        <v>John Smith</v>
      </c>
      <c r="N31" s="1" t="str">
        <f>INDEX(Customer_database!$A$1:$F$11,MATCH(Raw_orders!C31,Customer_database!$A$1:$A$11,0),4)</f>
        <v>Gold</v>
      </c>
      <c r="O31" s="3">
        <f t="shared" si="1"/>
        <v>649.95000000000005</v>
      </c>
      <c r="P31" s="3">
        <f t="shared" si="2"/>
        <v>424.95000000000005</v>
      </c>
      <c r="Q31">
        <f t="shared" si="3"/>
        <v>2</v>
      </c>
      <c r="R31" t="str">
        <f t="shared" si="0"/>
        <v>On-time</v>
      </c>
      <c r="S31" t="str">
        <f>IF(AND(Table1[[#This Row],[Status]]="Late",Table1[[#This Row],[Region]]="North"),"CRITICAL DELAY","NORMAL")</f>
        <v>NORMAL</v>
      </c>
      <c r="T31" t="b">
        <f t="shared" si="4"/>
        <v>1</v>
      </c>
    </row>
    <row r="32" spans="1:20" x14ac:dyDescent="0.3">
      <c r="A32" s="1" t="s">
        <v>8</v>
      </c>
      <c r="B32" s="2">
        <v>45294</v>
      </c>
      <c r="C32" s="1" t="s">
        <v>9</v>
      </c>
      <c r="D32" s="1" t="s">
        <v>10</v>
      </c>
      <c r="E32" s="1">
        <v>5</v>
      </c>
      <c r="F32" s="2">
        <v>45301</v>
      </c>
      <c r="G32" s="1" t="s">
        <v>11</v>
      </c>
      <c r="H32" s="1" t="s">
        <v>12</v>
      </c>
      <c r="I32" s="1" t="str">
        <f>VLOOKUP(D32,Product_Master!$A$1:$F$8,2,FALSE)</f>
        <v>Wireless Mouse X1</v>
      </c>
      <c r="J32" s="1" t="str">
        <f>INDEX(Product_Master!$A$1:$F$8,MATCH(Raw_orders!D32,Product_Master!$A$1:$A$8,0),3)</f>
        <v>Electronics</v>
      </c>
      <c r="K32" s="4">
        <f>_xlfn.XLOOKUP(D32,Product_Master!A:A,Product_Master!D:D,"Not Found",0)</f>
        <v>12.5</v>
      </c>
      <c r="L32" s="4">
        <f>_xlfn.XLOOKUP(D32,Product_Master!A:A,Product_Master!E:E,"Not Found")</f>
        <v>39.99</v>
      </c>
      <c r="M32" s="1" t="str">
        <f>IFERROR(VLOOKUP(C32,Customer_database!$A$1:$F$11,5,FALSE),"Unknown Item")</f>
        <v>John Smith</v>
      </c>
      <c r="N32" s="1" t="str">
        <f>INDEX(Customer_database!$A$1:$F$11,MATCH(Raw_orders!C32,Customer_database!$A$1:$A$11,0),4)</f>
        <v>Gold</v>
      </c>
      <c r="O32" s="3">
        <f t="shared" si="1"/>
        <v>199.95000000000002</v>
      </c>
      <c r="P32" s="3">
        <f t="shared" si="2"/>
        <v>137.45000000000002</v>
      </c>
      <c r="Q32">
        <f t="shared" si="3"/>
        <v>7</v>
      </c>
      <c r="R32" t="str">
        <f t="shared" si="0"/>
        <v>Late</v>
      </c>
      <c r="S32" t="str">
        <f>IF(AND(Table1[[#This Row],[Status]]="Late",Table1[[#This Row],[Region]]="North"),"CRITICAL DELAY","NORMAL")</f>
        <v>CRITICAL DELAY</v>
      </c>
      <c r="T32" t="b">
        <f t="shared" si="4"/>
        <v>1</v>
      </c>
    </row>
    <row r="33" spans="1:20" x14ac:dyDescent="0.3">
      <c r="A33" s="1" t="s">
        <v>13</v>
      </c>
      <c r="B33" s="2">
        <v>45295</v>
      </c>
      <c r="C33" s="1" t="s">
        <v>14</v>
      </c>
      <c r="D33" s="1" t="s">
        <v>15</v>
      </c>
      <c r="E33" s="1">
        <v>1</v>
      </c>
      <c r="F33" s="2">
        <v>45299</v>
      </c>
      <c r="G33" s="1" t="s">
        <v>16</v>
      </c>
      <c r="H33" s="1"/>
      <c r="I33" s="1" t="str">
        <f>VLOOKUP(D33,Product_Master!$A$1:$F$8,2,FALSE)</f>
        <v>Ergo Office Chair</v>
      </c>
      <c r="J33" s="1" t="str">
        <f>INDEX(Product_Master!$A$1:$F$8,MATCH(Raw_orders!D33,Product_Master!$A$1:$A$8,0),3)</f>
        <v>Furniture</v>
      </c>
      <c r="K33" s="4">
        <f>_xlfn.XLOOKUP(D33,Product_Master!A:A,Product_Master!D:D,"Not Found",0)</f>
        <v>85</v>
      </c>
      <c r="L33" s="4">
        <f>_xlfn.XLOOKUP(D33,Product_Master!A:A,Product_Master!E:E,"Not Found")</f>
        <v>249.99</v>
      </c>
      <c r="M33" s="1" t="str">
        <f>IFERROR(VLOOKUP(C33,Customer_database!$A$1:$F$11,5,FALSE),"Unknown Item")</f>
        <v>Emily Blunt</v>
      </c>
      <c r="N33" s="1" t="str">
        <f>INDEX(Customer_database!$A$1:$F$11,MATCH(Raw_orders!C33,Customer_database!$A$1:$A$11,0),4)</f>
        <v>Bronze</v>
      </c>
      <c r="O33" s="3">
        <f t="shared" si="1"/>
        <v>249.99</v>
      </c>
      <c r="P33" s="3">
        <f t="shared" si="2"/>
        <v>164.99</v>
      </c>
      <c r="Q33">
        <f t="shared" si="3"/>
        <v>4</v>
      </c>
      <c r="R33" t="str">
        <f t="shared" si="0"/>
        <v>On-time</v>
      </c>
      <c r="S33" t="str">
        <f>IF(AND(Table1[[#This Row],[Status]]="Late",Table1[[#This Row],[Region]]="North"),"CRITICAL DELAY","NORMAL")</f>
        <v>NORMAL</v>
      </c>
      <c r="T33" t="b">
        <f t="shared" si="4"/>
        <v>0</v>
      </c>
    </row>
    <row r="34" spans="1:20" x14ac:dyDescent="0.3">
      <c r="A34" s="1" t="s">
        <v>17</v>
      </c>
      <c r="B34" s="2">
        <v>45297</v>
      </c>
      <c r="C34" s="1" t="s">
        <v>18</v>
      </c>
      <c r="D34" s="1" t="s">
        <v>19</v>
      </c>
      <c r="E34" s="1">
        <v>10</v>
      </c>
      <c r="F34" s="2">
        <v>45305</v>
      </c>
      <c r="G34" s="1" t="s">
        <v>20</v>
      </c>
      <c r="H34" s="1" t="s">
        <v>21</v>
      </c>
      <c r="I34" s="1" t="str">
        <f>VLOOKUP(D34,Product_Master!$A$1:$F$8,2,FALSE)</f>
        <v>Mech Keyboard RGB</v>
      </c>
      <c r="J34" s="1" t="str">
        <f>INDEX(Product_Master!$A$1:$F$8,MATCH(Raw_orders!D34,Product_Master!$A$1:$A$8,0),3)</f>
        <v>Electronics</v>
      </c>
      <c r="K34" s="4">
        <f>_xlfn.XLOOKUP(D34,Product_Master!A:A,Product_Master!D:D,"Not Found",0)</f>
        <v>45</v>
      </c>
      <c r="L34" s="4">
        <f>_xlfn.XLOOKUP(D34,Product_Master!A:A,Product_Master!E:E,"Not Found")</f>
        <v>129.99</v>
      </c>
      <c r="M34" s="1" t="str">
        <f>IFERROR(VLOOKUP(C34,Customer_database!$A$1:$F$11,5,FALSE),"Unknown Item")</f>
        <v>Sarah Connor</v>
      </c>
      <c r="N34" s="1" t="str">
        <f>INDEX(Customer_database!$A$1:$F$11,MATCH(Raw_orders!C34,Customer_database!$A$1:$A$11,0),4)</f>
        <v>Silver</v>
      </c>
      <c r="O34" s="3">
        <f t="shared" si="1"/>
        <v>1299.9000000000001</v>
      </c>
      <c r="P34" s="3">
        <f t="shared" si="2"/>
        <v>849.90000000000009</v>
      </c>
      <c r="Q34">
        <f t="shared" si="3"/>
        <v>8</v>
      </c>
      <c r="R34" t="str">
        <f t="shared" si="0"/>
        <v>Late</v>
      </c>
      <c r="S34" t="str">
        <f>IF(AND(Table1[[#This Row],[Status]]="Late",Table1[[#This Row],[Region]]="North"),"CRITICAL DELAY","NORMAL")</f>
        <v>NORMAL</v>
      </c>
      <c r="T34" t="b">
        <f t="shared" si="4"/>
        <v>0</v>
      </c>
    </row>
    <row r="35" spans="1:20" x14ac:dyDescent="0.3">
      <c r="A35" s="1" t="s">
        <v>22</v>
      </c>
      <c r="B35" s="2">
        <v>45299</v>
      </c>
      <c r="C35" s="1" t="s">
        <v>23</v>
      </c>
      <c r="D35" s="1" t="s">
        <v>24</v>
      </c>
      <c r="E35" s="1">
        <v>2</v>
      </c>
      <c r="F35" s="2">
        <v>45300</v>
      </c>
      <c r="G35" s="1" t="s">
        <v>11</v>
      </c>
      <c r="H35" s="1"/>
      <c r="I35" s="1" t="str">
        <f>VLOOKUP(D35,Product_Master!$A$1:$F$8,2,FALSE)</f>
        <v>Dual Monitor Arm</v>
      </c>
      <c r="J35" s="1" t="str">
        <f>INDEX(Product_Master!$A$1:$F$8,MATCH(Raw_orders!D35,Product_Master!$A$1:$A$8,0),3)</f>
        <v>Electronics</v>
      </c>
      <c r="K35" s="4">
        <f>_xlfn.XLOOKUP(D35,Product_Master!A:A,Product_Master!D:D,"Not Found",0)</f>
        <v>25</v>
      </c>
      <c r="L35" s="4">
        <f>_xlfn.XLOOKUP(D35,Product_Master!A:A,Product_Master!E:E,"Not Found")</f>
        <v>75</v>
      </c>
      <c r="M35" s="1" t="str">
        <f>IFERROR(VLOOKUP(C35,Customer_database!$A$1:$F$11,5,FALSE),"Unknown Item")</f>
        <v>Dwight Schrute</v>
      </c>
      <c r="N35" s="1" t="str">
        <f>INDEX(Customer_database!$A$1:$F$11,MATCH(Raw_orders!C35,Customer_database!$A$1:$A$11,0),4)</f>
        <v>Silver</v>
      </c>
      <c r="O35" s="3">
        <f t="shared" si="1"/>
        <v>150</v>
      </c>
      <c r="P35" s="3">
        <f t="shared" si="2"/>
        <v>100</v>
      </c>
      <c r="Q35">
        <f t="shared" si="3"/>
        <v>1</v>
      </c>
      <c r="R35" t="str">
        <f t="shared" si="0"/>
        <v>On-time</v>
      </c>
      <c r="S35" t="str">
        <f>IF(AND(Table1[[#This Row],[Status]]="Late",Table1[[#This Row],[Region]]="North"),"CRITICAL DELAY","NORMAL")</f>
        <v>NORMAL</v>
      </c>
      <c r="T35" t="b">
        <f t="shared" si="4"/>
        <v>0</v>
      </c>
    </row>
    <row r="36" spans="1:20" x14ac:dyDescent="0.3">
      <c r="A36" s="1" t="s">
        <v>25</v>
      </c>
      <c r="B36" s="2">
        <v>45301</v>
      </c>
      <c r="C36" s="1" t="s">
        <v>9</v>
      </c>
      <c r="D36" s="1" t="s">
        <v>10</v>
      </c>
      <c r="E36" s="1">
        <v>1</v>
      </c>
      <c r="F36" s="2">
        <v>45303</v>
      </c>
      <c r="G36" s="1" t="s">
        <v>11</v>
      </c>
      <c r="H36" s="1" t="s">
        <v>26</v>
      </c>
      <c r="I36" s="1" t="str">
        <f>VLOOKUP(D36,Product_Master!$A$1:$F$8,2,FALSE)</f>
        <v>Wireless Mouse X1</v>
      </c>
      <c r="J36" s="1" t="str">
        <f>INDEX(Product_Master!$A$1:$F$8,MATCH(Raw_orders!D36,Product_Master!$A$1:$A$8,0),3)</f>
        <v>Electronics</v>
      </c>
      <c r="K36" s="4">
        <f>_xlfn.XLOOKUP(D36,Product_Master!A:A,Product_Master!D:D,"Not Found",0)</f>
        <v>12.5</v>
      </c>
      <c r="L36" s="4">
        <f>_xlfn.XLOOKUP(D36,Product_Master!A:A,Product_Master!E:E,"Not Found")</f>
        <v>39.99</v>
      </c>
      <c r="M36" s="1" t="str">
        <f>IFERROR(VLOOKUP(C36,Customer_database!$A$1:$F$11,5,FALSE),"Unknown Item")</f>
        <v>John Smith</v>
      </c>
      <c r="N36" s="1" t="str">
        <f>INDEX(Customer_database!$A$1:$F$11,MATCH(Raw_orders!C36,Customer_database!$A$1:$A$11,0),4)</f>
        <v>Gold</v>
      </c>
      <c r="O36" s="3">
        <f t="shared" si="1"/>
        <v>39.99</v>
      </c>
      <c r="P36" s="3">
        <f t="shared" si="2"/>
        <v>27.490000000000002</v>
      </c>
      <c r="Q36">
        <f t="shared" si="3"/>
        <v>2</v>
      </c>
      <c r="R36" t="str">
        <f t="shared" si="0"/>
        <v>On-time</v>
      </c>
      <c r="S36" t="str">
        <f>IF(AND(Table1[[#This Row],[Status]]="Late",Table1[[#This Row],[Region]]="North"),"CRITICAL DELAY","NORMAL")</f>
        <v>NORMAL</v>
      </c>
      <c r="T36" t="b">
        <f t="shared" si="4"/>
        <v>1</v>
      </c>
    </row>
    <row r="37" spans="1:20" x14ac:dyDescent="0.3">
      <c r="A37" s="1" t="s">
        <v>27</v>
      </c>
      <c r="B37" s="2">
        <v>45303</v>
      </c>
      <c r="C37" s="1" t="s">
        <v>28</v>
      </c>
      <c r="D37" s="1" t="s">
        <v>29</v>
      </c>
      <c r="E37" s="1">
        <v>3</v>
      </c>
      <c r="F37" s="2">
        <v>45310</v>
      </c>
      <c r="G37" s="1" t="s">
        <v>30</v>
      </c>
      <c r="H37" s="1" t="s">
        <v>12</v>
      </c>
      <c r="I37" s="1" t="str">
        <f>VLOOKUP(D37,Product_Master!$A$1:$F$8,2,FALSE)</f>
        <v>Oak Standing Desk</v>
      </c>
      <c r="J37" s="1" t="str">
        <f>INDEX(Product_Master!$A$1:$F$8,MATCH(Raw_orders!D37,Product_Master!$A$1:$A$8,0),3)</f>
        <v>Furniture</v>
      </c>
      <c r="K37" s="4">
        <f>_xlfn.XLOOKUP(D37,Product_Master!A:A,Product_Master!D:D,"Not Found",0)</f>
        <v>160</v>
      </c>
      <c r="L37" s="4">
        <f>_xlfn.XLOOKUP(D37,Product_Master!A:A,Product_Master!E:E,"Not Found")</f>
        <v>450</v>
      </c>
      <c r="M37" s="1" t="str">
        <f>IFERROR(VLOOKUP(C37,Customer_database!$A$1:$F$11,5,FALSE),"Unknown Item")</f>
        <v>Michael Scott</v>
      </c>
      <c r="N37" s="1" t="str">
        <f>INDEX(Customer_database!$A$1:$F$11,MATCH(Raw_orders!C37,Customer_database!$A$1:$A$11,0),4)</f>
        <v>Gold</v>
      </c>
      <c r="O37" s="3">
        <f t="shared" si="1"/>
        <v>1350</v>
      </c>
      <c r="P37" s="3">
        <f t="shared" si="2"/>
        <v>870</v>
      </c>
      <c r="Q37">
        <f t="shared" si="3"/>
        <v>7</v>
      </c>
      <c r="R37" t="str">
        <f t="shared" si="0"/>
        <v>Late</v>
      </c>
      <c r="S37" t="str">
        <f>IF(AND(Table1[[#This Row],[Status]]="Late",Table1[[#This Row],[Region]]="North"),"CRITICAL DELAY","NORMAL")</f>
        <v>NORMAL</v>
      </c>
      <c r="T37" t="b">
        <f t="shared" si="4"/>
        <v>1</v>
      </c>
    </row>
    <row r="38" spans="1:20" x14ac:dyDescent="0.3">
      <c r="A38" s="1" t="s">
        <v>31</v>
      </c>
      <c r="B38" s="2">
        <v>45306</v>
      </c>
      <c r="C38" s="1" t="s">
        <v>32</v>
      </c>
      <c r="D38" s="1" t="s">
        <v>33</v>
      </c>
      <c r="E38" s="1">
        <v>4</v>
      </c>
      <c r="F38" s="2">
        <v>45313</v>
      </c>
      <c r="G38" s="1" t="s">
        <v>16</v>
      </c>
      <c r="H38" s="1"/>
      <c r="I38" s="1" t="str">
        <f>VLOOKUP(D38,Product_Master!$A$1:$F$8,2,FALSE)</f>
        <v>Smart LED Lamp</v>
      </c>
      <c r="J38" s="1" t="str">
        <f>INDEX(Product_Master!$A$1:$F$8,MATCH(Raw_orders!D38,Product_Master!$A$1:$A$8,0),3)</f>
        <v>Home Decor</v>
      </c>
      <c r="K38" s="4">
        <f>_xlfn.XLOOKUP(D38,Product_Master!A:A,Product_Master!D:D,"Not Found",0)</f>
        <v>15</v>
      </c>
      <c r="L38" s="4">
        <f>_xlfn.XLOOKUP(D38,Product_Master!A:A,Product_Master!E:E,"Not Found")</f>
        <v>45</v>
      </c>
      <c r="M38" s="1" t="str">
        <f>IFERROR(VLOOKUP(C38,Customer_database!$A$1:$F$11,5,FALSE),"Unknown Item")</f>
        <v>Jim Halpert</v>
      </c>
      <c r="N38" s="1" t="str">
        <f>INDEX(Customer_database!$A$1:$F$11,MATCH(Raw_orders!C38,Customer_database!$A$1:$A$11,0),4)</f>
        <v>Bronze</v>
      </c>
      <c r="O38" s="3">
        <f t="shared" si="1"/>
        <v>180</v>
      </c>
      <c r="P38" s="3">
        <f t="shared" si="2"/>
        <v>120</v>
      </c>
      <c r="Q38">
        <f t="shared" si="3"/>
        <v>7</v>
      </c>
      <c r="R38" t="str">
        <f t="shared" si="0"/>
        <v>Late</v>
      </c>
      <c r="S38" t="str">
        <f>IF(AND(Table1[[#This Row],[Status]]="Late",Table1[[#This Row],[Region]]="North"),"CRITICAL DELAY","NORMAL")</f>
        <v>NORMAL</v>
      </c>
      <c r="T38" t="b">
        <f t="shared" si="4"/>
        <v>0</v>
      </c>
    </row>
    <row r="39" spans="1:20" x14ac:dyDescent="0.3">
      <c r="A39" s="1" t="s">
        <v>34</v>
      </c>
      <c r="B39" s="2">
        <v>45307</v>
      </c>
      <c r="C39" s="1" t="s">
        <v>18</v>
      </c>
      <c r="D39" s="1" t="s">
        <v>19</v>
      </c>
      <c r="E39" s="1">
        <v>6</v>
      </c>
      <c r="F39" s="2">
        <v>45309</v>
      </c>
      <c r="G39" s="1" t="s">
        <v>20</v>
      </c>
      <c r="H39" s="1"/>
      <c r="I39" s="1" t="str">
        <f>VLOOKUP(D39,Product_Master!$A$1:$F$8,2,FALSE)</f>
        <v>Mech Keyboard RGB</v>
      </c>
      <c r="J39" s="1" t="str">
        <f>INDEX(Product_Master!$A$1:$F$8,MATCH(Raw_orders!D39,Product_Master!$A$1:$A$8,0),3)</f>
        <v>Electronics</v>
      </c>
      <c r="K39" s="4">
        <f>_xlfn.XLOOKUP(D39,Product_Master!A:A,Product_Master!D:D,"Not Found",0)</f>
        <v>45</v>
      </c>
      <c r="L39" s="4">
        <f>_xlfn.XLOOKUP(D39,Product_Master!A:A,Product_Master!E:E,"Not Found")</f>
        <v>129.99</v>
      </c>
      <c r="M39" s="1" t="str">
        <f>IFERROR(VLOOKUP(C39,Customer_database!$A$1:$F$11,5,FALSE),"Unknown Item")</f>
        <v>Sarah Connor</v>
      </c>
      <c r="N39" s="1" t="str">
        <f>INDEX(Customer_database!$A$1:$F$11,MATCH(Raw_orders!C39,Customer_database!$A$1:$A$11,0),4)</f>
        <v>Silver</v>
      </c>
      <c r="O39" s="3">
        <f t="shared" si="1"/>
        <v>779.94</v>
      </c>
      <c r="P39" s="3">
        <f t="shared" si="2"/>
        <v>509.94000000000005</v>
      </c>
      <c r="Q39">
        <f t="shared" si="3"/>
        <v>2</v>
      </c>
      <c r="R39" t="str">
        <f t="shared" si="0"/>
        <v>On-time</v>
      </c>
      <c r="S39" t="str">
        <f>IF(AND(Table1[[#This Row],[Status]]="Late",Table1[[#This Row],[Region]]="North"),"CRITICAL DELAY","NORMAL")</f>
        <v>NORMAL</v>
      </c>
      <c r="T39" t="b">
        <f t="shared" si="4"/>
        <v>0</v>
      </c>
    </row>
    <row r="40" spans="1:20" x14ac:dyDescent="0.3">
      <c r="A40" s="1" t="s">
        <v>35</v>
      </c>
      <c r="B40" s="2">
        <v>45309</v>
      </c>
      <c r="C40" s="1" t="s">
        <v>36</v>
      </c>
      <c r="D40" s="1" t="s">
        <v>15</v>
      </c>
      <c r="E40" s="1">
        <v>2</v>
      </c>
      <c r="F40" s="2">
        <v>45320</v>
      </c>
      <c r="G40" s="1" t="s">
        <v>30</v>
      </c>
      <c r="H40" s="1" t="s">
        <v>37</v>
      </c>
      <c r="I40" s="1" t="str">
        <f>VLOOKUP(D40,Product_Master!$A$1:$F$8,2,FALSE)</f>
        <v>Ergo Office Chair</v>
      </c>
      <c r="J40" s="1" t="str">
        <f>INDEX(Product_Master!$A$1:$F$8,MATCH(Raw_orders!D40,Product_Master!$A$1:$A$8,0),3)</f>
        <v>Furniture</v>
      </c>
      <c r="K40" s="4">
        <f>_xlfn.XLOOKUP(D40,Product_Master!A:A,Product_Master!D:D,"Not Found",0)</f>
        <v>85</v>
      </c>
      <c r="L40" s="4">
        <f>_xlfn.XLOOKUP(D40,Product_Master!A:A,Product_Master!E:E,"Not Found")</f>
        <v>249.99</v>
      </c>
      <c r="M40" s="1" t="str">
        <f>IFERROR(VLOOKUP(C40,Customer_database!$A$1:$F$11,5,FALSE),"Unknown Item")</f>
        <v>Ryan Howard</v>
      </c>
      <c r="N40" s="1" t="str">
        <f>INDEX(Customer_database!$A$1:$F$11,MATCH(Raw_orders!C40,Customer_database!$A$1:$A$11,0),4)</f>
        <v>Bronze</v>
      </c>
      <c r="O40" s="3">
        <f t="shared" si="1"/>
        <v>499.98</v>
      </c>
      <c r="P40" s="3">
        <f t="shared" si="2"/>
        <v>329.98</v>
      </c>
      <c r="Q40">
        <f t="shared" si="3"/>
        <v>11</v>
      </c>
      <c r="R40" t="str">
        <f t="shared" si="0"/>
        <v>Late</v>
      </c>
      <c r="S40" t="str">
        <f>IF(AND(Table1[[#This Row],[Status]]="Late",Table1[[#This Row],[Region]]="North"),"CRITICAL DELAY","NORMAL")</f>
        <v>NORMAL</v>
      </c>
      <c r="T40" t="b">
        <f t="shared" si="4"/>
        <v>0</v>
      </c>
    </row>
    <row r="41" spans="1:20" x14ac:dyDescent="0.3">
      <c r="A41" s="1" t="s">
        <v>38</v>
      </c>
      <c r="B41" s="2">
        <v>45311</v>
      </c>
      <c r="C41" s="1" t="s">
        <v>14</v>
      </c>
      <c r="D41" s="1" t="s">
        <v>24</v>
      </c>
      <c r="E41" s="1">
        <v>1</v>
      </c>
      <c r="F41" s="2">
        <v>45312</v>
      </c>
      <c r="G41" s="1" t="s">
        <v>16</v>
      </c>
      <c r="H41" s="1"/>
      <c r="I41" s="1" t="str">
        <f>VLOOKUP(D41,Product_Master!$A$1:$F$8,2,FALSE)</f>
        <v>Dual Monitor Arm</v>
      </c>
      <c r="J41" s="1" t="str">
        <f>INDEX(Product_Master!$A$1:$F$8,MATCH(Raw_orders!D41,Product_Master!$A$1:$A$8,0),3)</f>
        <v>Electronics</v>
      </c>
      <c r="K41" s="4">
        <f>_xlfn.XLOOKUP(D41,Product_Master!A:A,Product_Master!D:D,"Not Found",0)</f>
        <v>25</v>
      </c>
      <c r="L41" s="4">
        <f>_xlfn.XLOOKUP(D41,Product_Master!A:A,Product_Master!E:E,"Not Found")</f>
        <v>75</v>
      </c>
      <c r="M41" s="1" t="str">
        <f>IFERROR(VLOOKUP(C41,Customer_database!$A$1:$F$11,5,FALSE),"Unknown Item")</f>
        <v>Emily Blunt</v>
      </c>
      <c r="N41" s="1" t="str">
        <f>INDEX(Customer_database!$A$1:$F$11,MATCH(Raw_orders!C41,Customer_database!$A$1:$A$11,0),4)</f>
        <v>Bronze</v>
      </c>
      <c r="O41" s="3">
        <f t="shared" si="1"/>
        <v>75</v>
      </c>
      <c r="P41" s="3">
        <f t="shared" si="2"/>
        <v>50</v>
      </c>
      <c r="Q41">
        <f t="shared" si="3"/>
        <v>1</v>
      </c>
      <c r="R41" t="str">
        <f t="shared" si="0"/>
        <v>On-time</v>
      </c>
      <c r="S41" t="str">
        <f>IF(AND(Table1[[#This Row],[Status]]="Late",Table1[[#This Row],[Region]]="North"),"CRITICAL DELAY","NORMAL")</f>
        <v>NORMAL</v>
      </c>
      <c r="T41" t="b">
        <f t="shared" si="4"/>
        <v>0</v>
      </c>
    </row>
    <row r="42" spans="1:20" x14ac:dyDescent="0.3">
      <c r="A42" s="1" t="s">
        <v>39</v>
      </c>
      <c r="B42" s="2">
        <v>45313</v>
      </c>
      <c r="C42" s="1" t="s">
        <v>40</v>
      </c>
      <c r="D42" s="1" t="s">
        <v>10</v>
      </c>
      <c r="E42" s="1">
        <v>20</v>
      </c>
      <c r="F42" s="2">
        <v>45314</v>
      </c>
      <c r="G42" s="1" t="s">
        <v>11</v>
      </c>
      <c r="H42" s="1" t="s">
        <v>41</v>
      </c>
      <c r="I42" s="1" t="str">
        <f>VLOOKUP(D42,Product_Master!$A$1:$F$8,2,FALSE)</f>
        <v>Wireless Mouse X1</v>
      </c>
      <c r="J42" s="1" t="str">
        <f>INDEX(Product_Master!$A$1:$F$8,MATCH(Raw_orders!D42,Product_Master!$A$1:$A$8,0),3)</f>
        <v>Electronics</v>
      </c>
      <c r="K42" s="4">
        <f>_xlfn.XLOOKUP(D42,Product_Master!A:A,Product_Master!D:D,"Not Found",0)</f>
        <v>12.5</v>
      </c>
      <c r="L42" s="4">
        <f>_xlfn.XLOOKUP(D42,Product_Master!A:A,Product_Master!E:E,"Not Found")</f>
        <v>39.99</v>
      </c>
      <c r="M42" s="1" t="str">
        <f>IFERROR(VLOOKUP(C42,Customer_database!$A$1:$F$11,5,FALSE),"Unknown Item")</f>
        <v>Creed Bratton</v>
      </c>
      <c r="N42" s="1" t="str">
        <f>INDEX(Customer_database!$A$1:$F$11,MATCH(Raw_orders!C42,Customer_database!$A$1:$A$11,0),4)</f>
        <v>Gold</v>
      </c>
      <c r="O42" s="3">
        <f t="shared" si="1"/>
        <v>799.80000000000007</v>
      </c>
      <c r="P42" s="3">
        <f t="shared" si="2"/>
        <v>549.80000000000007</v>
      </c>
      <c r="Q42">
        <f t="shared" si="3"/>
        <v>1</v>
      </c>
      <c r="R42" t="str">
        <f t="shared" si="0"/>
        <v>On-time</v>
      </c>
      <c r="S42" t="str">
        <f>IF(AND(Table1[[#This Row],[Status]]="Late",Table1[[#This Row],[Region]]="North"),"CRITICAL DELAY","NORMAL")</f>
        <v>NORMAL</v>
      </c>
      <c r="T42" t="b">
        <f t="shared" si="4"/>
        <v>0</v>
      </c>
    </row>
    <row r="43" spans="1:20" x14ac:dyDescent="0.3">
      <c r="A43" s="1" t="s">
        <v>42</v>
      </c>
      <c r="B43" s="2">
        <v>45316</v>
      </c>
      <c r="C43" s="1" t="s">
        <v>43</v>
      </c>
      <c r="D43" s="1" t="s">
        <v>15</v>
      </c>
      <c r="E43" s="1">
        <v>3</v>
      </c>
      <c r="F43" s="2">
        <v>45327</v>
      </c>
      <c r="G43" s="1" t="s">
        <v>20</v>
      </c>
      <c r="H43" s="1"/>
      <c r="I43" s="1" t="str">
        <f>VLOOKUP(D43,Product_Master!$A$1:$F$8,2,FALSE)</f>
        <v>Ergo Office Chair</v>
      </c>
      <c r="J43" s="1" t="str">
        <f>INDEX(Product_Master!$A$1:$F$8,MATCH(Raw_orders!D43,Product_Master!$A$1:$A$8,0),3)</f>
        <v>Furniture</v>
      </c>
      <c r="K43" s="4">
        <f>_xlfn.XLOOKUP(D43,Product_Master!A:A,Product_Master!D:D,"Not Found",0)</f>
        <v>85</v>
      </c>
      <c r="L43" s="4">
        <f>_xlfn.XLOOKUP(D43,Product_Master!A:A,Product_Master!E:E,"Not Found")</f>
        <v>249.99</v>
      </c>
      <c r="M43" s="1" t="str">
        <f>IFERROR(VLOOKUP(C43,Customer_database!$A$1:$F$11,5,FALSE),"Unknown Item")</f>
        <v>Pam Beesly</v>
      </c>
      <c r="N43" s="1" t="str">
        <f>INDEX(Customer_database!$A$1:$F$11,MATCH(Raw_orders!C43,Customer_database!$A$1:$A$11,0),4)</f>
        <v>Silver</v>
      </c>
      <c r="O43" s="3">
        <f t="shared" si="1"/>
        <v>749.97</v>
      </c>
      <c r="P43" s="3">
        <f t="shared" si="2"/>
        <v>494.97</v>
      </c>
      <c r="Q43">
        <f t="shared" si="3"/>
        <v>11</v>
      </c>
      <c r="R43" t="str">
        <f t="shared" si="0"/>
        <v>Late</v>
      </c>
      <c r="S43" t="str">
        <f>IF(AND(Table1[[#This Row],[Status]]="Late",Table1[[#This Row],[Region]]="North"),"CRITICAL DELAY","NORMAL")</f>
        <v>NORMAL</v>
      </c>
      <c r="T43" t="b">
        <f t="shared" si="4"/>
        <v>0</v>
      </c>
    </row>
    <row r="44" spans="1:20" x14ac:dyDescent="0.3">
      <c r="A44" s="1" t="s">
        <v>44</v>
      </c>
      <c r="B44" s="2">
        <v>45317</v>
      </c>
      <c r="C44" s="1" t="s">
        <v>45</v>
      </c>
      <c r="D44" s="1" t="s">
        <v>29</v>
      </c>
      <c r="E44" s="1">
        <v>2</v>
      </c>
      <c r="F44" s="2">
        <v>45319</v>
      </c>
      <c r="G44" s="1" t="s">
        <v>30</v>
      </c>
      <c r="H44" s="1" t="s">
        <v>12</v>
      </c>
      <c r="I44" s="1" t="str">
        <f>VLOOKUP(D44,Product_Master!$A$1:$F$8,2,FALSE)</f>
        <v>Oak Standing Desk</v>
      </c>
      <c r="J44" s="1" t="str">
        <f>INDEX(Product_Master!$A$1:$F$8,MATCH(Raw_orders!D44,Product_Master!$A$1:$A$8,0),3)</f>
        <v>Furniture</v>
      </c>
      <c r="K44" s="4">
        <f>_xlfn.XLOOKUP(D44,Product_Master!A:A,Product_Master!D:D,"Not Found",0)</f>
        <v>160</v>
      </c>
      <c r="L44" s="4">
        <f>_xlfn.XLOOKUP(D44,Product_Master!A:A,Product_Master!E:E,"Not Found")</f>
        <v>450</v>
      </c>
      <c r="M44" s="1" t="str">
        <f>IFERROR(VLOOKUP(C44,Customer_database!$A$1:$F$11,5,FALSE),"Unknown Item")</f>
        <v>Stanley Hudson</v>
      </c>
      <c r="N44" s="1" t="str">
        <f>INDEX(Customer_database!$A$1:$F$11,MATCH(Raw_orders!C44,Customer_database!$A$1:$A$11,0),4)</f>
        <v>Silver</v>
      </c>
      <c r="O44" s="3">
        <f t="shared" si="1"/>
        <v>900</v>
      </c>
      <c r="P44" s="3">
        <f t="shared" si="2"/>
        <v>580</v>
      </c>
      <c r="Q44">
        <f t="shared" si="3"/>
        <v>2</v>
      </c>
      <c r="R44" t="str">
        <f t="shared" si="0"/>
        <v>On-time</v>
      </c>
      <c r="S44" t="str">
        <f>IF(AND(Table1[[#This Row],[Status]]="Late",Table1[[#This Row],[Region]]="North"),"CRITICAL DELAY","NORMAL")</f>
        <v>NORMAL</v>
      </c>
      <c r="T44" t="b">
        <f t="shared" si="4"/>
        <v>1</v>
      </c>
    </row>
    <row r="45" spans="1:20" x14ac:dyDescent="0.3">
      <c r="A45" s="1" t="s">
        <v>46</v>
      </c>
      <c r="B45" s="2">
        <v>45319</v>
      </c>
      <c r="C45" s="1" t="s">
        <v>23</v>
      </c>
      <c r="D45" s="1" t="s">
        <v>33</v>
      </c>
      <c r="E45" s="1">
        <v>1</v>
      </c>
      <c r="F45" s="2">
        <v>45324</v>
      </c>
      <c r="G45" s="1" t="s">
        <v>11</v>
      </c>
      <c r="H45" s="1"/>
      <c r="I45" s="1" t="str">
        <f>VLOOKUP(D45,Product_Master!$A$1:$F$8,2,FALSE)</f>
        <v>Smart LED Lamp</v>
      </c>
      <c r="J45" s="1" t="str">
        <f>INDEX(Product_Master!$A$1:$F$8,MATCH(Raw_orders!D45,Product_Master!$A$1:$A$8,0),3)</f>
        <v>Home Decor</v>
      </c>
      <c r="K45" s="4">
        <f>_xlfn.XLOOKUP(D45,Product_Master!A:A,Product_Master!D:D,"Not Found",0)</f>
        <v>15</v>
      </c>
      <c r="L45" s="4">
        <f>_xlfn.XLOOKUP(D45,Product_Master!A:A,Product_Master!E:E,"Not Found")</f>
        <v>45</v>
      </c>
      <c r="M45" s="1" t="str">
        <f>IFERROR(VLOOKUP(C45,Customer_database!$A$1:$F$11,5,FALSE),"Unknown Item")</f>
        <v>Dwight Schrute</v>
      </c>
      <c r="N45" s="1" t="str">
        <f>INDEX(Customer_database!$A$1:$F$11,MATCH(Raw_orders!C45,Customer_database!$A$1:$A$11,0),4)</f>
        <v>Silver</v>
      </c>
      <c r="O45" s="3">
        <f t="shared" si="1"/>
        <v>45</v>
      </c>
      <c r="P45" s="3">
        <f t="shared" si="2"/>
        <v>30</v>
      </c>
      <c r="Q45">
        <f t="shared" si="3"/>
        <v>5</v>
      </c>
      <c r="R45" t="str">
        <f t="shared" si="0"/>
        <v>On-time</v>
      </c>
      <c r="S45" t="str">
        <f>IF(AND(Table1[[#This Row],[Status]]="Late",Table1[[#This Row],[Region]]="North"),"CRITICAL DELAY","NORMAL")</f>
        <v>NORMAL</v>
      </c>
      <c r="T45" t="b">
        <f t="shared" si="4"/>
        <v>0</v>
      </c>
    </row>
    <row r="46" spans="1:20" x14ac:dyDescent="0.3">
      <c r="A46" s="1" t="s">
        <v>47</v>
      </c>
      <c r="B46" s="2">
        <v>45321</v>
      </c>
      <c r="C46" s="1" t="s">
        <v>9</v>
      </c>
      <c r="D46" s="1" t="s">
        <v>19</v>
      </c>
      <c r="E46" s="1">
        <v>5</v>
      </c>
      <c r="F46" s="2">
        <v>45323</v>
      </c>
      <c r="G46" s="1" t="s">
        <v>11</v>
      </c>
      <c r="H46" s="1" t="s">
        <v>26</v>
      </c>
      <c r="I46" s="1" t="str">
        <f>VLOOKUP(D46,Product_Master!$A$1:$F$8,2,FALSE)</f>
        <v>Mech Keyboard RGB</v>
      </c>
      <c r="J46" s="1" t="str">
        <f>INDEX(Product_Master!$A$1:$F$8,MATCH(Raw_orders!D46,Product_Master!$A$1:$A$8,0),3)</f>
        <v>Electronics</v>
      </c>
      <c r="K46" s="4">
        <f>_xlfn.XLOOKUP(D46,Product_Master!A:A,Product_Master!D:D,"Not Found",0)</f>
        <v>45</v>
      </c>
      <c r="L46" s="4">
        <f>_xlfn.XLOOKUP(D46,Product_Master!A:A,Product_Master!E:E,"Not Found")</f>
        <v>129.99</v>
      </c>
      <c r="M46" s="1" t="str">
        <f>IFERROR(VLOOKUP(C46,Customer_database!$A$1:$F$11,5,FALSE),"Unknown Item")</f>
        <v>John Smith</v>
      </c>
      <c r="N46" s="1" t="str">
        <f>INDEX(Customer_database!$A$1:$F$11,MATCH(Raw_orders!C46,Customer_database!$A$1:$A$11,0),4)</f>
        <v>Gold</v>
      </c>
      <c r="O46" s="3">
        <f t="shared" si="1"/>
        <v>649.95000000000005</v>
      </c>
      <c r="P46" s="3">
        <f t="shared" si="2"/>
        <v>424.95000000000005</v>
      </c>
      <c r="Q46">
        <f t="shared" si="3"/>
        <v>2</v>
      </c>
      <c r="R46" t="str">
        <f t="shared" si="0"/>
        <v>On-time</v>
      </c>
      <c r="S46" t="str">
        <f>IF(AND(Table1[[#This Row],[Status]]="Late",Table1[[#This Row],[Region]]="North"),"CRITICAL DELAY","NORMAL")</f>
        <v>NORMAL</v>
      </c>
      <c r="T46" t="b">
        <f t="shared" si="4"/>
        <v>1</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9281E-A2FF-4A4F-A6D3-CC6045757BE9}">
  <dimension ref="A1:F8"/>
  <sheetViews>
    <sheetView workbookViewId="0">
      <selection sqref="A1:F8"/>
    </sheetView>
  </sheetViews>
  <sheetFormatPr defaultRowHeight="14.4" x14ac:dyDescent="0.3"/>
  <cols>
    <col min="1" max="1" width="9.21875" customWidth="1"/>
    <col min="2" max="2" width="17.109375" bestFit="1" customWidth="1"/>
    <col min="3" max="3" width="10.88671875" bestFit="1" customWidth="1"/>
    <col min="4" max="4" width="11" customWidth="1"/>
    <col min="5" max="5" width="11.44140625" customWidth="1"/>
    <col min="6" max="6" width="11.88671875" bestFit="1" customWidth="1"/>
  </cols>
  <sheetData>
    <row r="1" spans="1:6" x14ac:dyDescent="0.3">
      <c r="A1" s="1" t="s">
        <v>3</v>
      </c>
      <c r="B1" s="1" t="s">
        <v>48</v>
      </c>
      <c r="C1" s="1" t="s">
        <v>49</v>
      </c>
      <c r="D1" s="1" t="s">
        <v>50</v>
      </c>
      <c r="E1" s="1" t="s">
        <v>51</v>
      </c>
      <c r="F1" s="1" t="s">
        <v>52</v>
      </c>
    </row>
    <row r="2" spans="1:6" x14ac:dyDescent="0.3">
      <c r="A2" s="1" t="s">
        <v>10</v>
      </c>
      <c r="B2" s="1" t="s">
        <v>53</v>
      </c>
      <c r="C2" s="1" t="s">
        <v>54</v>
      </c>
      <c r="D2" s="1">
        <v>12.5</v>
      </c>
      <c r="E2" s="1">
        <v>39.99</v>
      </c>
      <c r="F2" s="1" t="s">
        <v>55</v>
      </c>
    </row>
    <row r="3" spans="1:6" x14ac:dyDescent="0.3">
      <c r="A3" s="1" t="s">
        <v>19</v>
      </c>
      <c r="B3" s="1" t="s">
        <v>56</v>
      </c>
      <c r="C3" s="1" t="s">
        <v>54</v>
      </c>
      <c r="D3" s="1">
        <v>45</v>
      </c>
      <c r="E3" s="1">
        <v>129.99</v>
      </c>
      <c r="F3" s="1" t="s">
        <v>57</v>
      </c>
    </row>
    <row r="4" spans="1:6" x14ac:dyDescent="0.3">
      <c r="A4" s="1" t="s">
        <v>15</v>
      </c>
      <c r="B4" s="1" t="s">
        <v>58</v>
      </c>
      <c r="C4" s="1" t="s">
        <v>59</v>
      </c>
      <c r="D4" s="1">
        <v>85</v>
      </c>
      <c r="E4" s="1">
        <v>249.99</v>
      </c>
      <c r="F4" s="1" t="s">
        <v>60</v>
      </c>
    </row>
    <row r="5" spans="1:6" x14ac:dyDescent="0.3">
      <c r="A5" s="1" t="s">
        <v>29</v>
      </c>
      <c r="B5" s="1" t="s">
        <v>61</v>
      </c>
      <c r="C5" s="1" t="s">
        <v>59</v>
      </c>
      <c r="D5" s="1">
        <v>160</v>
      </c>
      <c r="E5" s="1">
        <v>450</v>
      </c>
      <c r="F5" s="1" t="s">
        <v>62</v>
      </c>
    </row>
    <row r="6" spans="1:6" x14ac:dyDescent="0.3">
      <c r="A6" s="1" t="s">
        <v>33</v>
      </c>
      <c r="B6" s="1" t="s">
        <v>63</v>
      </c>
      <c r="C6" s="1" t="s">
        <v>64</v>
      </c>
      <c r="D6" s="1">
        <v>15</v>
      </c>
      <c r="E6" s="1">
        <v>45</v>
      </c>
      <c r="F6" s="1" t="s">
        <v>65</v>
      </c>
    </row>
    <row r="7" spans="1:6" x14ac:dyDescent="0.3">
      <c r="A7" s="1" t="s">
        <v>24</v>
      </c>
      <c r="B7" s="1" t="s">
        <v>66</v>
      </c>
      <c r="C7" s="1" t="s">
        <v>54</v>
      </c>
      <c r="D7" s="1">
        <v>25</v>
      </c>
      <c r="E7" s="1">
        <v>75</v>
      </c>
      <c r="F7" s="1" t="s">
        <v>55</v>
      </c>
    </row>
    <row r="8" spans="1:6" x14ac:dyDescent="0.3">
      <c r="A8" s="1" t="s">
        <v>67</v>
      </c>
      <c r="B8" s="1" t="s">
        <v>68</v>
      </c>
      <c r="C8" s="1" t="s">
        <v>69</v>
      </c>
      <c r="D8" s="1">
        <v>5</v>
      </c>
      <c r="E8" s="1">
        <v>25</v>
      </c>
      <c r="F8" s="1" t="s">
        <v>70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2363D-F2DF-48C3-B76C-E143EA4A5D75}">
  <dimension ref="A1:F11"/>
  <sheetViews>
    <sheetView workbookViewId="0">
      <selection sqref="A1:F11"/>
    </sheetView>
  </sheetViews>
  <sheetFormatPr defaultRowHeight="14.4" x14ac:dyDescent="0.3"/>
  <cols>
    <col min="1" max="1" width="9.33203125" customWidth="1"/>
    <col min="2" max="2" width="21.109375" customWidth="1"/>
    <col min="3" max="3" width="21.77734375" bestFit="1" customWidth="1"/>
    <col min="4" max="4" width="17.21875" customWidth="1"/>
    <col min="5" max="5" width="13.33203125" bestFit="1" customWidth="1"/>
    <col min="6" max="6" width="14.88671875" customWidth="1"/>
  </cols>
  <sheetData>
    <row r="1" spans="1:6" x14ac:dyDescent="0.3">
      <c r="A1" s="1" t="s">
        <v>2</v>
      </c>
      <c r="B1" s="1" t="s">
        <v>71</v>
      </c>
      <c r="C1" s="1" t="s">
        <v>72</v>
      </c>
      <c r="D1" s="1" t="s">
        <v>73</v>
      </c>
      <c r="E1" s="1" t="s">
        <v>97</v>
      </c>
      <c r="F1" s="1" t="s">
        <v>98</v>
      </c>
    </row>
    <row r="2" spans="1:6" x14ac:dyDescent="0.3">
      <c r="A2" s="1" t="s">
        <v>9</v>
      </c>
      <c r="B2" s="1" t="s">
        <v>74</v>
      </c>
      <c r="C2" s="1" t="s">
        <v>75</v>
      </c>
      <c r="D2" s="1" t="s">
        <v>76</v>
      </c>
      <c r="E2" t="str">
        <f>TRIM(PROPER(B2))</f>
        <v>John Smith</v>
      </c>
      <c r="F2" s="1" t="s">
        <v>99</v>
      </c>
    </row>
    <row r="3" spans="1:6" x14ac:dyDescent="0.3">
      <c r="A3" s="1" t="s">
        <v>18</v>
      </c>
      <c r="B3" s="1" t="s">
        <v>77</v>
      </c>
      <c r="C3" s="1" t="s">
        <v>78</v>
      </c>
      <c r="D3" s="1" t="s">
        <v>79</v>
      </c>
      <c r="E3" t="str">
        <f t="shared" ref="E3:E11" si="0">TRIM(PROPER(B3))</f>
        <v>Sarah Connor</v>
      </c>
      <c r="F3" s="1" t="s">
        <v>100</v>
      </c>
    </row>
    <row r="4" spans="1:6" x14ac:dyDescent="0.3">
      <c r="A4" s="1" t="s">
        <v>14</v>
      </c>
      <c r="B4" s="1" t="s">
        <v>80</v>
      </c>
      <c r="C4" s="1" t="s">
        <v>81</v>
      </c>
      <c r="D4" s="1" t="s">
        <v>82</v>
      </c>
      <c r="E4" t="str">
        <f t="shared" si="0"/>
        <v>Emily Blunt</v>
      </c>
      <c r="F4" s="1" t="s">
        <v>101</v>
      </c>
    </row>
    <row r="5" spans="1:6" x14ac:dyDescent="0.3">
      <c r="A5" s="1" t="s">
        <v>28</v>
      </c>
      <c r="B5" s="1" t="s">
        <v>83</v>
      </c>
      <c r="C5" s="1" t="s">
        <v>84</v>
      </c>
      <c r="D5" s="1" t="s">
        <v>76</v>
      </c>
      <c r="E5" t="str">
        <f t="shared" si="0"/>
        <v>Michael Scott</v>
      </c>
      <c r="F5" s="1" t="s">
        <v>102</v>
      </c>
    </row>
    <row r="6" spans="1:6" x14ac:dyDescent="0.3">
      <c r="A6" s="1" t="s">
        <v>23</v>
      </c>
      <c r="B6" s="1" t="s">
        <v>85</v>
      </c>
      <c r="C6" s="1" t="s">
        <v>86</v>
      </c>
      <c r="D6" s="1" t="s">
        <v>79</v>
      </c>
      <c r="E6" t="str">
        <f t="shared" si="0"/>
        <v>Dwight Schrute</v>
      </c>
      <c r="F6" s="1" t="s">
        <v>103</v>
      </c>
    </row>
    <row r="7" spans="1:6" x14ac:dyDescent="0.3">
      <c r="A7" s="1" t="s">
        <v>32</v>
      </c>
      <c r="B7" s="1" t="s">
        <v>87</v>
      </c>
      <c r="C7" s="1" t="s">
        <v>88</v>
      </c>
      <c r="D7" s="1" t="s">
        <v>82</v>
      </c>
      <c r="E7" t="str">
        <f t="shared" si="0"/>
        <v>Jim Halpert</v>
      </c>
      <c r="F7" s="1" t="s">
        <v>102</v>
      </c>
    </row>
    <row r="8" spans="1:6" x14ac:dyDescent="0.3">
      <c r="A8" s="1" t="s">
        <v>43</v>
      </c>
      <c r="B8" s="1" t="s">
        <v>89</v>
      </c>
      <c r="C8" s="1" t="s">
        <v>90</v>
      </c>
      <c r="D8" s="1" t="s">
        <v>79</v>
      </c>
      <c r="E8" t="str">
        <f t="shared" si="0"/>
        <v>Pam Beesly</v>
      </c>
      <c r="F8" s="1" t="s">
        <v>102</v>
      </c>
    </row>
    <row r="9" spans="1:6" x14ac:dyDescent="0.3">
      <c r="A9" s="1" t="s">
        <v>36</v>
      </c>
      <c r="B9" s="1" t="s">
        <v>91</v>
      </c>
      <c r="C9" s="1" t="s">
        <v>92</v>
      </c>
      <c r="D9" s="1" t="s">
        <v>82</v>
      </c>
      <c r="E9" t="str">
        <f t="shared" si="0"/>
        <v>Ryan Howard</v>
      </c>
      <c r="F9" s="1" t="s">
        <v>104</v>
      </c>
    </row>
    <row r="10" spans="1:6" x14ac:dyDescent="0.3">
      <c r="A10" s="1" t="s">
        <v>40</v>
      </c>
      <c r="B10" s="1" t="s">
        <v>93</v>
      </c>
      <c r="C10" s="1" t="s">
        <v>94</v>
      </c>
      <c r="D10" s="1" t="s">
        <v>76</v>
      </c>
      <c r="E10" t="str">
        <f t="shared" si="0"/>
        <v>Creed Bratton</v>
      </c>
      <c r="F10" s="1" t="s">
        <v>105</v>
      </c>
    </row>
    <row r="11" spans="1:6" x14ac:dyDescent="0.3">
      <c r="A11" s="1" t="s">
        <v>45</v>
      </c>
      <c r="B11" s="1" t="s">
        <v>95</v>
      </c>
      <c r="C11" s="1" t="s">
        <v>96</v>
      </c>
      <c r="D11" s="1" t="s">
        <v>79</v>
      </c>
      <c r="E11" t="str">
        <f t="shared" si="0"/>
        <v>Stanley Hudson</v>
      </c>
      <c r="F11" s="1" t="s">
        <v>102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E60C1-EB65-4467-A500-06582B4A48A3}">
  <dimension ref="A1:K17"/>
  <sheetViews>
    <sheetView zoomScale="73" workbookViewId="0">
      <selection activeCell="B15" sqref="B15"/>
    </sheetView>
  </sheetViews>
  <sheetFormatPr defaultRowHeight="14.4" x14ac:dyDescent="0.3"/>
  <cols>
    <col min="1" max="1" width="17.109375" bestFit="1" customWidth="1"/>
    <col min="2" max="2" width="19.33203125" bestFit="1" customWidth="1"/>
    <col min="3" max="3" width="14.77734375" bestFit="1" customWidth="1"/>
    <col min="6" max="6" width="17.33203125" bestFit="1" customWidth="1"/>
    <col min="7" max="7" width="14.77734375" bestFit="1" customWidth="1"/>
    <col min="10" max="10" width="12.44140625" bestFit="1" customWidth="1"/>
    <col min="11" max="11" width="19.33203125" bestFit="1" customWidth="1"/>
  </cols>
  <sheetData>
    <row r="1" spans="1:11" x14ac:dyDescent="0.3">
      <c r="A1" s="5" t="s">
        <v>116</v>
      </c>
      <c r="B1" t="s">
        <v>118</v>
      </c>
      <c r="F1" s="5" t="s">
        <v>116</v>
      </c>
      <c r="G1" t="s">
        <v>122</v>
      </c>
      <c r="J1" s="5" t="s">
        <v>116</v>
      </c>
      <c r="K1" t="s">
        <v>118</v>
      </c>
    </row>
    <row r="2" spans="1:11" x14ac:dyDescent="0.3">
      <c r="A2" s="6" t="s">
        <v>66</v>
      </c>
      <c r="B2" s="3">
        <v>675</v>
      </c>
      <c r="F2" s="6" t="s">
        <v>20</v>
      </c>
      <c r="G2">
        <v>9</v>
      </c>
      <c r="J2" s="6" t="s">
        <v>82</v>
      </c>
      <c r="K2" s="3">
        <v>3014.9100000000003</v>
      </c>
    </row>
    <row r="3" spans="1:11" x14ac:dyDescent="0.3">
      <c r="A3" s="6" t="s">
        <v>58</v>
      </c>
      <c r="B3" s="3">
        <v>4499.82</v>
      </c>
      <c r="F3" s="7" t="s">
        <v>123</v>
      </c>
      <c r="G3">
        <v>9</v>
      </c>
      <c r="J3" s="6" t="s">
        <v>76</v>
      </c>
      <c r="K3" s="3">
        <v>9119.07</v>
      </c>
    </row>
    <row r="4" spans="1:11" x14ac:dyDescent="0.3">
      <c r="A4" s="6" t="s">
        <v>56</v>
      </c>
      <c r="B4" s="3">
        <v>8189.37</v>
      </c>
      <c r="F4" s="6" t="s">
        <v>11</v>
      </c>
      <c r="G4">
        <v>18</v>
      </c>
      <c r="J4" s="6" t="s">
        <v>79</v>
      </c>
      <c r="K4" s="3">
        <v>11774.430000000002</v>
      </c>
    </row>
    <row r="5" spans="1:11" x14ac:dyDescent="0.3">
      <c r="A5" s="6" t="s">
        <v>61</v>
      </c>
      <c r="B5" s="3">
        <v>6750</v>
      </c>
      <c r="F5" s="7" t="s">
        <v>121</v>
      </c>
      <c r="G5">
        <v>1</v>
      </c>
      <c r="J5" s="6" t="s">
        <v>117</v>
      </c>
      <c r="K5" s="3">
        <v>23908.410000000003</v>
      </c>
    </row>
    <row r="6" spans="1:11" x14ac:dyDescent="0.3">
      <c r="A6" s="6" t="s">
        <v>63</v>
      </c>
      <c r="B6" s="3">
        <v>675</v>
      </c>
      <c r="F6" s="7" t="s">
        <v>123</v>
      </c>
      <c r="G6">
        <v>17</v>
      </c>
    </row>
    <row r="7" spans="1:11" x14ac:dyDescent="0.3">
      <c r="A7" s="6" t="s">
        <v>53</v>
      </c>
      <c r="B7" s="3">
        <v>3119.22</v>
      </c>
      <c r="F7" s="6" t="s">
        <v>30</v>
      </c>
      <c r="G7">
        <v>9</v>
      </c>
    </row>
    <row r="8" spans="1:11" x14ac:dyDescent="0.3">
      <c r="A8" s="6" t="s">
        <v>117</v>
      </c>
      <c r="B8" s="3">
        <v>23908.41</v>
      </c>
      <c r="F8" s="7" t="s">
        <v>123</v>
      </c>
      <c r="G8">
        <v>9</v>
      </c>
    </row>
    <row r="9" spans="1:11" x14ac:dyDescent="0.3">
      <c r="F9" s="6" t="s">
        <v>16</v>
      </c>
      <c r="G9">
        <v>9</v>
      </c>
      <c r="J9" s="5" t="s">
        <v>116</v>
      </c>
      <c r="K9" t="s">
        <v>118</v>
      </c>
    </row>
    <row r="10" spans="1:11" x14ac:dyDescent="0.3">
      <c r="F10" s="7" t="s">
        <v>123</v>
      </c>
      <c r="G10">
        <v>9</v>
      </c>
      <c r="J10" s="6" t="s">
        <v>54</v>
      </c>
      <c r="K10" s="3">
        <v>11983.590000000002</v>
      </c>
    </row>
    <row r="11" spans="1:11" x14ac:dyDescent="0.3">
      <c r="F11" s="6" t="s">
        <v>117</v>
      </c>
      <c r="G11">
        <v>45</v>
      </c>
      <c r="J11" s="6" t="s">
        <v>59</v>
      </c>
      <c r="K11" s="3">
        <v>11249.819999999998</v>
      </c>
    </row>
    <row r="12" spans="1:11" x14ac:dyDescent="0.3">
      <c r="J12" s="6" t="s">
        <v>64</v>
      </c>
      <c r="K12" s="3">
        <v>675</v>
      </c>
    </row>
    <row r="13" spans="1:11" x14ac:dyDescent="0.3">
      <c r="J13" s="6" t="s">
        <v>117</v>
      </c>
      <c r="K13" s="3">
        <v>23908.41</v>
      </c>
    </row>
    <row r="14" spans="1:11" x14ac:dyDescent="0.3">
      <c r="B14" s="5" t="s">
        <v>116</v>
      </c>
      <c r="C14" t="s">
        <v>124</v>
      </c>
    </row>
    <row r="15" spans="1:11" x14ac:dyDescent="0.3">
      <c r="B15" s="6" t="s">
        <v>119</v>
      </c>
      <c r="C15">
        <v>16</v>
      </c>
    </row>
    <row r="16" spans="1:11" x14ac:dyDescent="0.3">
      <c r="B16" s="6" t="s">
        <v>120</v>
      </c>
      <c r="C16">
        <v>29</v>
      </c>
    </row>
    <row r="17" spans="2:3" x14ac:dyDescent="0.3">
      <c r="B17" s="6" t="s">
        <v>117</v>
      </c>
      <c r="C17">
        <v>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DF78B-3305-4B0A-A89E-7C561F6509EB}">
  <dimension ref="A1:AD46"/>
  <sheetViews>
    <sheetView tabSelected="1" zoomScale="80" zoomScaleNormal="80" workbookViewId="0">
      <selection activeCell="R5" sqref="R5"/>
    </sheetView>
  </sheetViews>
  <sheetFormatPr defaultRowHeight="14.4" x14ac:dyDescent="0.3"/>
  <sheetData>
    <row r="1" spans="1:30"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row>
    <row r="2" spans="1:30"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row>
    <row r="3" spans="1:30"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row>
    <row r="5" spans="1:30"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row>
    <row r="6" spans="1:30"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row>
    <row r="7" spans="1:30"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row>
    <row r="8" spans="1:30"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row>
    <row r="9" spans="1:30"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row>
    <row r="10" spans="1:30"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3">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spans="1:30"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spans="1:30"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spans="1:30"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spans="1:30"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spans="1:30"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row>
    <row r="26" spans="1:30"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row>
    <row r="27" spans="1:30"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row>
    <row r="28" spans="1:30"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row>
    <row r="29" spans="1:30"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row>
    <row r="30" spans="1:30"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row>
    <row r="31" spans="1:30"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row>
    <row r="32" spans="1:30"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row>
    <row r="33" spans="1:30"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row>
    <row r="34" spans="1:30"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row>
    <row r="35" spans="1:30"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spans="1:30"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spans="1:30"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spans="1:30"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spans="1:30"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spans="1:30"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spans="1:30"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spans="1:30"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spans="1:30"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spans="1:30"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spans="1:30"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spans="1:30"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Raw_orders</vt:lpstr>
      <vt:lpstr>Product_Master</vt:lpstr>
      <vt:lpstr>Customer_database</vt:lpstr>
      <vt:lpstr>Report</vt:lpstr>
      <vt:lpstr>Visualization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Harshali Bhopale</cp:lastModifiedBy>
  <dcterms:created xsi:type="dcterms:W3CDTF">2026-01-31T04:08:57Z</dcterms:created>
  <dcterms:modified xsi:type="dcterms:W3CDTF">2026-03-22T17:52:03Z</dcterms:modified>
</cp:coreProperties>
</file>