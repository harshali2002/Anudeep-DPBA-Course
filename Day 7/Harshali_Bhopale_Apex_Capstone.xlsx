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D:\Anudeep\Excel\Day 7\"/>
    </mc:Choice>
  </mc:AlternateContent>
  <xr:revisionPtr revIDLastSave="0" documentId="13_ncr:10000001_{7706525F-275B-4E56-B77C-6719A0C548C4}" xr6:coauthVersionLast="47" xr6:coauthVersionMax="47" xr10:uidLastSave="{00000000-0000-0000-0000-000000000000}"/>
  <bookViews>
    <workbookView xWindow="-108" yWindow="-108" windowWidth="23256" windowHeight="12456" activeTab="2" xr2:uid="{6A530EA4-CBD9-45E0-831F-C19BE4B00478}"/>
  </bookViews>
  <sheets>
    <sheet name="Raw_orders" sheetId="1" r:id="rId1"/>
    <sheet name="Pivot" sheetId="5" r:id="rId2"/>
    <sheet name="Executive_Dashboard" sheetId="4" r:id="rId3"/>
    <sheet name="Product_Master" sheetId="2" r:id="rId4"/>
    <sheet name="Customer_database" sheetId="3" r:id="rId5"/>
  </sheets>
  <definedNames>
    <definedName name="_xlnm._FilterDatabase" localSheetId="0" hidden="1">Raw_orders!$A$1:$R$46</definedName>
    <definedName name="NativeTimeline_Date">#N/A</definedName>
    <definedName name="Slicer_Category">#N/A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1" i="3" l="1"/>
  <c r="E11" i="3"/>
  <c r="F10" i="3"/>
  <c r="E10" i="3"/>
  <c r="F9" i="3"/>
  <c r="E9" i="3"/>
  <c r="F8" i="3"/>
  <c r="E8" i="3"/>
  <c r="F7" i="3"/>
  <c r="E7" i="3"/>
  <c r="F6" i="3"/>
  <c r="E6" i="3"/>
  <c r="F5" i="3"/>
  <c r="E5" i="3"/>
  <c r="F4" i="3"/>
  <c r="E4" i="3"/>
  <c r="F3" i="3"/>
  <c r="E3" i="3"/>
  <c r="F2" i="3"/>
  <c r="E2" i="3"/>
  <c r="D14" i="5"/>
  <c r="D11" i="5"/>
  <c r="S46" i="1"/>
  <c r="R46" i="1"/>
  <c r="Q46" i="1"/>
  <c r="P46" i="1"/>
  <c r="O46" i="1"/>
  <c r="N46" i="1"/>
  <c r="M46" i="1"/>
  <c r="L46" i="1"/>
  <c r="K46" i="1"/>
  <c r="J46" i="1"/>
  <c r="I46" i="1"/>
  <c r="S45" i="1"/>
  <c r="R45" i="1"/>
  <c r="Q45" i="1"/>
  <c r="P45" i="1"/>
  <c r="O45" i="1"/>
  <c r="N45" i="1"/>
  <c r="M45" i="1"/>
  <c r="L45" i="1"/>
  <c r="K45" i="1"/>
  <c r="J45" i="1"/>
  <c r="I45" i="1"/>
  <c r="S44" i="1"/>
  <c r="R44" i="1"/>
  <c r="Q44" i="1"/>
  <c r="P44" i="1"/>
  <c r="O44" i="1"/>
  <c r="N44" i="1"/>
  <c r="M44" i="1"/>
  <c r="L44" i="1"/>
  <c r="K44" i="1"/>
  <c r="J44" i="1"/>
  <c r="I44" i="1"/>
  <c r="S43" i="1"/>
  <c r="R43" i="1"/>
  <c r="Q43" i="1"/>
  <c r="P43" i="1"/>
  <c r="O43" i="1"/>
  <c r="N43" i="1"/>
  <c r="M43" i="1"/>
  <c r="L43" i="1"/>
  <c r="K43" i="1"/>
  <c r="J43" i="1"/>
  <c r="I43" i="1"/>
  <c r="S42" i="1"/>
  <c r="R42" i="1"/>
  <c r="Q42" i="1"/>
  <c r="P42" i="1"/>
  <c r="O42" i="1"/>
  <c r="N42" i="1"/>
  <c r="M42" i="1"/>
  <c r="L42" i="1"/>
  <c r="K42" i="1"/>
  <c r="J42" i="1"/>
  <c r="I42" i="1"/>
  <c r="S41" i="1"/>
  <c r="R41" i="1"/>
  <c r="Q41" i="1"/>
  <c r="P41" i="1"/>
  <c r="O41" i="1"/>
  <c r="N41" i="1"/>
  <c r="M41" i="1"/>
  <c r="L41" i="1"/>
  <c r="K41" i="1"/>
  <c r="J41" i="1"/>
  <c r="I41" i="1"/>
  <c r="S40" i="1"/>
  <c r="R40" i="1"/>
  <c r="Q40" i="1"/>
  <c r="P40" i="1"/>
  <c r="O40" i="1"/>
  <c r="N40" i="1"/>
  <c r="M40" i="1"/>
  <c r="L40" i="1"/>
  <c r="K40" i="1"/>
  <c r="J40" i="1"/>
  <c r="I40" i="1"/>
  <c r="S39" i="1"/>
  <c r="R39" i="1"/>
  <c r="Q39" i="1"/>
  <c r="P39" i="1"/>
  <c r="O39" i="1"/>
  <c r="N39" i="1"/>
  <c r="M39" i="1"/>
  <c r="L39" i="1"/>
  <c r="K39" i="1"/>
  <c r="J39" i="1"/>
  <c r="I39" i="1"/>
  <c r="S38" i="1"/>
  <c r="R38" i="1"/>
  <c r="Q38" i="1"/>
  <c r="P38" i="1"/>
  <c r="O38" i="1"/>
  <c r="N38" i="1"/>
  <c r="M38" i="1"/>
  <c r="L38" i="1"/>
  <c r="K38" i="1"/>
  <c r="J38" i="1"/>
  <c r="I38" i="1"/>
  <c r="S37" i="1"/>
  <c r="R37" i="1"/>
  <c r="Q37" i="1"/>
  <c r="P37" i="1"/>
  <c r="O37" i="1"/>
  <c r="N37" i="1"/>
  <c r="M37" i="1"/>
  <c r="L37" i="1"/>
  <c r="K37" i="1"/>
  <c r="J37" i="1"/>
  <c r="I37" i="1"/>
  <c r="S36" i="1"/>
  <c r="R36" i="1"/>
  <c r="Q36" i="1"/>
  <c r="P36" i="1"/>
  <c r="O36" i="1"/>
  <c r="N36" i="1"/>
  <c r="M36" i="1"/>
  <c r="L36" i="1"/>
  <c r="K36" i="1"/>
  <c r="J36" i="1"/>
  <c r="I36" i="1"/>
  <c r="S35" i="1"/>
  <c r="R35" i="1"/>
  <c r="Q35" i="1"/>
  <c r="P35" i="1"/>
  <c r="O35" i="1"/>
  <c r="N35" i="1"/>
  <c r="M35" i="1"/>
  <c r="L35" i="1"/>
  <c r="K35" i="1"/>
  <c r="J35" i="1"/>
  <c r="I35" i="1"/>
  <c r="S34" i="1"/>
  <c r="R34" i="1"/>
  <c r="Q34" i="1"/>
  <c r="P34" i="1"/>
  <c r="O34" i="1"/>
  <c r="N34" i="1"/>
  <c r="M34" i="1"/>
  <c r="L34" i="1"/>
  <c r="K34" i="1"/>
  <c r="J34" i="1"/>
  <c r="I34" i="1"/>
  <c r="S33" i="1"/>
  <c r="R33" i="1"/>
  <c r="Q33" i="1"/>
  <c r="P33" i="1"/>
  <c r="O33" i="1"/>
  <c r="N33" i="1"/>
  <c r="M33" i="1"/>
  <c r="L33" i="1"/>
  <c r="K33" i="1"/>
  <c r="J33" i="1"/>
  <c r="I33" i="1"/>
  <c r="S32" i="1"/>
  <c r="R32" i="1"/>
  <c r="Q32" i="1"/>
  <c r="P32" i="1"/>
  <c r="O32" i="1"/>
  <c r="N32" i="1"/>
  <c r="M32" i="1"/>
  <c r="L32" i="1"/>
  <c r="K32" i="1"/>
  <c r="J32" i="1"/>
  <c r="I32" i="1"/>
  <c r="S31" i="1"/>
  <c r="R31" i="1"/>
  <c r="Q31" i="1"/>
  <c r="P31" i="1"/>
  <c r="O31" i="1"/>
  <c r="N31" i="1"/>
  <c r="M31" i="1"/>
  <c r="L31" i="1"/>
  <c r="K31" i="1"/>
  <c r="J31" i="1"/>
  <c r="I31" i="1"/>
  <c r="S30" i="1"/>
  <c r="R30" i="1"/>
  <c r="Q30" i="1"/>
  <c r="P30" i="1"/>
  <c r="O30" i="1"/>
  <c r="N30" i="1"/>
  <c r="M30" i="1"/>
  <c r="L30" i="1"/>
  <c r="K30" i="1"/>
  <c r="J30" i="1"/>
  <c r="I30" i="1"/>
  <c r="S29" i="1"/>
  <c r="R29" i="1"/>
  <c r="Q29" i="1"/>
  <c r="P29" i="1"/>
  <c r="O29" i="1"/>
  <c r="N29" i="1"/>
  <c r="M29" i="1"/>
  <c r="L29" i="1"/>
  <c r="K29" i="1"/>
  <c r="J29" i="1"/>
  <c r="I29" i="1"/>
  <c r="S28" i="1"/>
  <c r="R28" i="1"/>
  <c r="Q28" i="1"/>
  <c r="P28" i="1"/>
  <c r="O28" i="1"/>
  <c r="N28" i="1"/>
  <c r="M28" i="1"/>
  <c r="L28" i="1"/>
  <c r="K28" i="1"/>
  <c r="J28" i="1"/>
  <c r="I28" i="1"/>
  <c r="S27" i="1"/>
  <c r="R27" i="1"/>
  <c r="Q27" i="1"/>
  <c r="P27" i="1"/>
  <c r="O27" i="1"/>
  <c r="N27" i="1"/>
  <c r="M27" i="1"/>
  <c r="L27" i="1"/>
  <c r="K27" i="1"/>
  <c r="J27" i="1"/>
  <c r="I27" i="1"/>
  <c r="S26" i="1"/>
  <c r="R26" i="1"/>
  <c r="Q26" i="1"/>
  <c r="P26" i="1"/>
  <c r="O26" i="1"/>
  <c r="N26" i="1"/>
  <c r="M26" i="1"/>
  <c r="L26" i="1"/>
  <c r="K26" i="1"/>
  <c r="J26" i="1"/>
  <c r="I26" i="1"/>
  <c r="S25" i="1"/>
  <c r="R25" i="1"/>
  <c r="Q25" i="1"/>
  <c r="P25" i="1"/>
  <c r="O25" i="1"/>
  <c r="N25" i="1"/>
  <c r="M25" i="1"/>
  <c r="L25" i="1"/>
  <c r="K25" i="1"/>
  <c r="J25" i="1"/>
  <c r="I25" i="1"/>
  <c r="S24" i="1"/>
  <c r="R24" i="1"/>
  <c r="Q24" i="1"/>
  <c r="P24" i="1"/>
  <c r="O24" i="1"/>
  <c r="N24" i="1"/>
  <c r="M24" i="1"/>
  <c r="L24" i="1"/>
  <c r="K24" i="1"/>
  <c r="J24" i="1"/>
  <c r="I24" i="1"/>
  <c r="S23" i="1"/>
  <c r="R23" i="1"/>
  <c r="Q23" i="1"/>
  <c r="P23" i="1"/>
  <c r="O23" i="1"/>
  <c r="N23" i="1"/>
  <c r="M23" i="1"/>
  <c r="L23" i="1"/>
  <c r="K23" i="1"/>
  <c r="J23" i="1"/>
  <c r="I23" i="1"/>
  <c r="S22" i="1"/>
  <c r="R22" i="1"/>
  <c r="Q22" i="1"/>
  <c r="P22" i="1"/>
  <c r="O22" i="1"/>
  <c r="N22" i="1"/>
  <c r="M22" i="1"/>
  <c r="L22" i="1"/>
  <c r="K22" i="1"/>
  <c r="J22" i="1"/>
  <c r="I22" i="1"/>
  <c r="S21" i="1"/>
  <c r="R21" i="1"/>
  <c r="Q21" i="1"/>
  <c r="P21" i="1"/>
  <c r="O21" i="1"/>
  <c r="N21" i="1"/>
  <c r="M21" i="1"/>
  <c r="L21" i="1"/>
  <c r="K21" i="1"/>
  <c r="J21" i="1"/>
  <c r="I21" i="1"/>
  <c r="S20" i="1"/>
  <c r="R20" i="1"/>
  <c r="Q20" i="1"/>
  <c r="P20" i="1"/>
  <c r="O20" i="1"/>
  <c r="N20" i="1"/>
  <c r="M20" i="1"/>
  <c r="L20" i="1"/>
  <c r="K20" i="1"/>
  <c r="J20" i="1"/>
  <c r="I20" i="1"/>
  <c r="S19" i="1"/>
  <c r="R19" i="1"/>
  <c r="Q19" i="1"/>
  <c r="P19" i="1"/>
  <c r="O19" i="1"/>
  <c r="N19" i="1"/>
  <c r="M19" i="1"/>
  <c r="L19" i="1"/>
  <c r="K19" i="1"/>
  <c r="J19" i="1"/>
  <c r="I19" i="1"/>
  <c r="S18" i="1"/>
  <c r="R18" i="1"/>
  <c r="Q18" i="1"/>
  <c r="P18" i="1"/>
  <c r="O18" i="1"/>
  <c r="N18" i="1"/>
  <c r="M18" i="1"/>
  <c r="L18" i="1"/>
  <c r="K18" i="1"/>
  <c r="J18" i="1"/>
  <c r="I18" i="1"/>
  <c r="S17" i="1"/>
  <c r="R17" i="1"/>
  <c r="Q17" i="1"/>
  <c r="P17" i="1"/>
  <c r="O17" i="1"/>
  <c r="N17" i="1"/>
  <c r="M17" i="1"/>
  <c r="L17" i="1"/>
  <c r="K17" i="1"/>
  <c r="J17" i="1"/>
  <c r="I17" i="1"/>
  <c r="S16" i="1"/>
  <c r="R16" i="1"/>
  <c r="Q16" i="1"/>
  <c r="P16" i="1"/>
  <c r="O16" i="1"/>
  <c r="N16" i="1"/>
  <c r="M16" i="1"/>
  <c r="L16" i="1"/>
  <c r="K16" i="1"/>
  <c r="J16" i="1"/>
  <c r="I16" i="1"/>
  <c r="S15" i="1"/>
  <c r="R15" i="1"/>
  <c r="Q15" i="1"/>
  <c r="P15" i="1"/>
  <c r="O15" i="1"/>
  <c r="N15" i="1"/>
  <c r="M15" i="1"/>
  <c r="L15" i="1"/>
  <c r="K15" i="1"/>
  <c r="J15" i="1"/>
  <c r="I15" i="1"/>
  <c r="S14" i="1"/>
  <c r="R14" i="1"/>
  <c r="Q14" i="1"/>
  <c r="P14" i="1"/>
  <c r="O14" i="1"/>
  <c r="N14" i="1"/>
  <c r="M14" i="1"/>
  <c r="L14" i="1"/>
  <c r="K14" i="1"/>
  <c r="J14" i="1"/>
  <c r="I14" i="1"/>
  <c r="S13" i="1"/>
  <c r="R13" i="1"/>
  <c r="Q13" i="1"/>
  <c r="P13" i="1"/>
  <c r="O13" i="1"/>
  <c r="N13" i="1"/>
  <c r="M13" i="1"/>
  <c r="L13" i="1"/>
  <c r="K13" i="1"/>
  <c r="J13" i="1"/>
  <c r="I13" i="1"/>
  <c r="S12" i="1"/>
  <c r="R12" i="1"/>
  <c r="Q12" i="1"/>
  <c r="P12" i="1"/>
  <c r="O12" i="1"/>
  <c r="N12" i="1"/>
  <c r="M12" i="1"/>
  <c r="L12" i="1"/>
  <c r="K12" i="1"/>
  <c r="J12" i="1"/>
  <c r="I12" i="1"/>
  <c r="S11" i="1"/>
  <c r="R11" i="1"/>
  <c r="Q11" i="1"/>
  <c r="P11" i="1"/>
  <c r="O11" i="1"/>
  <c r="N11" i="1"/>
  <c r="M11" i="1"/>
  <c r="L11" i="1"/>
  <c r="K11" i="1"/>
  <c r="J11" i="1"/>
  <c r="I11" i="1"/>
  <c r="S10" i="1"/>
  <c r="R10" i="1"/>
  <c r="Q10" i="1"/>
  <c r="P10" i="1"/>
  <c r="O10" i="1"/>
  <c r="N10" i="1"/>
  <c r="M10" i="1"/>
  <c r="L10" i="1"/>
  <c r="K10" i="1"/>
  <c r="J10" i="1"/>
  <c r="I10" i="1"/>
  <c r="S9" i="1"/>
  <c r="R9" i="1"/>
  <c r="Q9" i="1"/>
  <c r="P9" i="1"/>
  <c r="O9" i="1"/>
  <c r="N9" i="1"/>
  <c r="M9" i="1"/>
  <c r="L9" i="1"/>
  <c r="K9" i="1"/>
  <c r="J9" i="1"/>
  <c r="I9" i="1"/>
  <c r="S8" i="1"/>
  <c r="R8" i="1"/>
  <c r="Q8" i="1"/>
  <c r="P8" i="1"/>
  <c r="O8" i="1"/>
  <c r="N8" i="1"/>
  <c r="M8" i="1"/>
  <c r="L8" i="1"/>
  <c r="K8" i="1"/>
  <c r="J8" i="1"/>
  <c r="I8" i="1"/>
  <c r="S7" i="1"/>
  <c r="R7" i="1"/>
  <c r="Q7" i="1"/>
  <c r="P7" i="1"/>
  <c r="O7" i="1"/>
  <c r="N7" i="1"/>
  <c r="M7" i="1"/>
  <c r="L7" i="1"/>
  <c r="K7" i="1"/>
  <c r="J7" i="1"/>
  <c r="I7" i="1"/>
  <c r="S6" i="1"/>
  <c r="R6" i="1"/>
  <c r="Q6" i="1"/>
  <c r="P6" i="1"/>
  <c r="O6" i="1"/>
  <c r="N6" i="1"/>
  <c r="M6" i="1"/>
  <c r="L6" i="1"/>
  <c r="K6" i="1"/>
  <c r="J6" i="1"/>
  <c r="I6" i="1"/>
  <c r="S5" i="1"/>
  <c r="R5" i="1"/>
  <c r="Q5" i="1"/>
  <c r="P5" i="1"/>
  <c r="O5" i="1"/>
  <c r="N5" i="1"/>
  <c r="M5" i="1"/>
  <c r="L5" i="1"/>
  <c r="K5" i="1"/>
  <c r="J5" i="1"/>
  <c r="I5" i="1"/>
  <c r="S4" i="1"/>
  <c r="R4" i="1"/>
  <c r="Q4" i="1"/>
  <c r="P4" i="1"/>
  <c r="O4" i="1"/>
  <c r="N4" i="1"/>
  <c r="M4" i="1"/>
  <c r="L4" i="1"/>
  <c r="K4" i="1"/>
  <c r="J4" i="1"/>
  <c r="I4" i="1"/>
  <c r="S3" i="1"/>
  <c r="R3" i="1"/>
  <c r="Q3" i="1"/>
  <c r="P3" i="1"/>
  <c r="O3" i="1"/>
  <c r="N3" i="1"/>
  <c r="M3" i="1"/>
  <c r="L3" i="1"/>
  <c r="K3" i="1"/>
  <c r="J3" i="1"/>
  <c r="I3" i="1"/>
  <c r="S2" i="1"/>
  <c r="R2" i="1"/>
  <c r="Q2" i="1"/>
  <c r="P2" i="1"/>
  <c r="O2" i="1"/>
  <c r="N2" i="1"/>
  <c r="M2" i="1"/>
  <c r="L2" i="1"/>
  <c r="K2" i="1"/>
  <c r="J2" i="1"/>
  <c r="I2" i="1"/>
</calcChain>
</file>

<file path=xl/sharedStrings.xml><?xml version="1.0" encoding="utf-8"?>
<sst xmlns="http://schemas.openxmlformats.org/spreadsheetml/2006/main" count="340" uniqueCount="125">
  <si>
    <t>OrderID</t>
  </si>
  <si>
    <t>Date</t>
  </si>
  <si>
    <t>Cust_ID</t>
  </si>
  <si>
    <t>Prod_ID</t>
  </si>
  <si>
    <t>Qty</t>
  </si>
  <si>
    <t>Ship_Date</t>
  </si>
  <si>
    <t>Region</t>
  </si>
  <si>
    <t>Promo_Code</t>
  </si>
  <si>
    <t>ORD-24-1001</t>
  </si>
  <si>
    <t>C-001</t>
  </si>
  <si>
    <t>P-500</t>
  </si>
  <si>
    <t>North</t>
  </si>
  <si>
    <t>WELCOME10</t>
  </si>
  <si>
    <t>ORD-24-1002</t>
  </si>
  <si>
    <t>C-003</t>
  </si>
  <si>
    <t>P-502</t>
  </si>
  <si>
    <t>West</t>
  </si>
  <si>
    <t>ORD-24-1003</t>
  </si>
  <si>
    <t>C-002</t>
  </si>
  <si>
    <t>P-501</t>
  </si>
  <si>
    <t>East</t>
  </si>
  <si>
    <t>BULK25</t>
  </si>
  <si>
    <t>ORD-24-1004</t>
  </si>
  <si>
    <t>C-005</t>
  </si>
  <si>
    <t>P-505</t>
  </si>
  <si>
    <t>ORD-24-1005</t>
  </si>
  <si>
    <t>FREESHIP</t>
  </si>
  <si>
    <t>ORD-24-1006</t>
  </si>
  <si>
    <t>C-004</t>
  </si>
  <si>
    <t>P-503</t>
  </si>
  <si>
    <t>South</t>
  </si>
  <si>
    <t>ORD-24-1007</t>
  </si>
  <si>
    <t>C-006</t>
  </si>
  <si>
    <t>P-504</t>
  </si>
  <si>
    <t>ORD-24-1008</t>
  </si>
  <si>
    <t>ORD-24-1009</t>
  </si>
  <si>
    <t>C-008</t>
  </si>
  <si>
    <t>LATE_SORRY</t>
  </si>
  <si>
    <t>ORD-24-1010</t>
  </si>
  <si>
    <t>ORD-24-1011</t>
  </si>
  <si>
    <t>C-009</t>
  </si>
  <si>
    <t>BULK_VIP</t>
  </si>
  <si>
    <t>ORD-24-1012</t>
  </si>
  <si>
    <t>C-007</t>
  </si>
  <si>
    <t>ORD-24-1013</t>
  </si>
  <si>
    <t>C-010</t>
  </si>
  <si>
    <t>ORD-24-1014</t>
  </si>
  <si>
    <t>ORD-24-1015</t>
  </si>
  <si>
    <t>Product_Name</t>
  </si>
  <si>
    <t>Category</t>
  </si>
  <si>
    <t>Unit_Cost</t>
  </si>
  <si>
    <t>Unit_Price</t>
  </si>
  <si>
    <t>Supplier</t>
  </si>
  <si>
    <t>Wireless Mouse X1</t>
  </si>
  <si>
    <t>Electronics</t>
  </si>
  <si>
    <t>TechGiant</t>
  </si>
  <si>
    <t>Mech Keyboard RGB</t>
  </si>
  <si>
    <t>KeyWorld</t>
  </si>
  <si>
    <t>Ergo Office Chair</t>
  </si>
  <si>
    <t>Furniture</t>
  </si>
  <si>
    <t>SitRight</t>
  </si>
  <si>
    <t>Oak Standing Desk</t>
  </si>
  <si>
    <t>WoodWorks</t>
  </si>
  <si>
    <t>Smart LED Lamp</t>
  </si>
  <si>
    <t>Home Decor</t>
  </si>
  <si>
    <t>BrightLite</t>
  </si>
  <si>
    <t>Dual Monitor Arm</t>
  </si>
  <si>
    <t>P-999</t>
  </si>
  <si>
    <t>Extended Warranty</t>
  </si>
  <si>
    <t>Services</t>
  </si>
  <si>
    <t>ApexLogistics</t>
  </si>
  <si>
    <t>Customer_Raw_Name</t>
  </si>
  <si>
    <t>Email_Address</t>
  </si>
  <si>
    <t>Membership_Tier</t>
  </si>
  <si>
    <t>john smith</t>
  </si>
  <si>
    <t>j.smith@gmail.com</t>
  </si>
  <si>
    <t>Gold</t>
  </si>
  <si>
    <t xml:space="preserve">  SARAH CONNOR  </t>
  </si>
  <si>
    <t>s.connor@skynet.org</t>
  </si>
  <si>
    <t>Silver</t>
  </si>
  <si>
    <t>emily blunt</t>
  </si>
  <si>
    <t>e.blunt@studio.net</t>
  </si>
  <si>
    <t>Bronze</t>
  </si>
  <si>
    <t>MICHAEL scott</t>
  </si>
  <si>
    <t>m.scott@paperco.com</t>
  </si>
  <si>
    <t>dwight Schrute</t>
  </si>
  <si>
    <t>beets@farms.com</t>
  </si>
  <si>
    <t>jim HALPERT</t>
  </si>
  <si>
    <t>jim@paperco.com</t>
  </si>
  <si>
    <t>pam beesly</t>
  </si>
  <si>
    <t>art@paperco.com</t>
  </si>
  <si>
    <t>ryan howard</t>
  </si>
  <si>
    <t>temp@agency.com</t>
  </si>
  <si>
    <t>Creed Bratton</t>
  </si>
  <si>
    <t>unknown@unknown.com</t>
  </si>
  <si>
    <t>stanley hudson</t>
  </si>
  <si>
    <t>crossword@paperco.com</t>
  </si>
  <si>
    <t>Clean_Name</t>
  </si>
  <si>
    <t>Email_Domain</t>
  </si>
  <si>
    <t>Product name</t>
  </si>
  <si>
    <t>Unit Cost</t>
  </si>
  <si>
    <t>Unit Price</t>
  </si>
  <si>
    <t>Clear Name</t>
  </si>
  <si>
    <t>Total Revenew</t>
  </si>
  <si>
    <t>Total Profit</t>
  </si>
  <si>
    <t>Days_To_Ship</t>
  </si>
  <si>
    <t>Status</t>
  </si>
  <si>
    <t>Promo Valid</t>
  </si>
  <si>
    <t>Sum of Total Profit</t>
  </si>
  <si>
    <t>Row Labels</t>
  </si>
  <si>
    <t>Grand Total</t>
  </si>
  <si>
    <t>Total Profit by Product Category</t>
  </si>
  <si>
    <t>Count of Status</t>
  </si>
  <si>
    <t>Sum of Total Revenew</t>
  </si>
  <si>
    <t>Total Revenue by Membership Tier</t>
  </si>
  <si>
    <t xml:space="preserve"> Count of "Critical Delays" by Region.</t>
  </si>
  <si>
    <t>Column Labels</t>
  </si>
  <si>
    <t>Total Revenue :</t>
  </si>
  <si>
    <t>Total Profit :</t>
  </si>
  <si>
    <t>Profit Margin % :</t>
  </si>
  <si>
    <t>Late</t>
  </si>
  <si>
    <t>On Time</t>
  </si>
  <si>
    <t>Profit margin</t>
  </si>
  <si>
    <t>On time orders</t>
  </si>
  <si>
    <t>On-Time Delivery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</si>
</sst>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
    <numFmt numFmtId="166" formatCode="[$$-409]#,##0"/>
    <numFmt numFmtId="172" formatCode="#,##0\ [$$-C0C]"/>
  </numFmts>
  <fonts count="2" x14ac:knownFonts="1">
    <font>
      <sz val="11"/>
      <color theme="1"/>
      <name val="Trebuchet MS"/>
      <family val="2"/>
      <scheme val="minor"/>
    </font>
    <font>
      <b/>
      <sz val="11"/>
      <color theme="1"/>
      <name val="Trebuchet MS"/>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0" fillId="0" borderId="1" xfId="0" applyBorder="1"/>
    <xf numFmtId="0" fontId="0" fillId="0" borderId="1" xfId="0" applyBorder="1" applyAlignment="1">
      <alignment horizontal="center"/>
    </xf>
    <xf numFmtId="14" fontId="0" fillId="0" borderId="1" xfId="0" applyNumberFormat="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1" xfId="0" pivotButton="1" applyBorder="1"/>
    <xf numFmtId="0" fontId="0" fillId="0" borderId="1" xfId="0" applyBorder="1" applyAlignment="1">
      <alignment horizontal="left"/>
    </xf>
    <xf numFmtId="10" fontId="0" fillId="0" borderId="0" xfId="0" applyNumberFormat="1"/>
    <xf numFmtId="0" fontId="0" fillId="3" borderId="0" xfId="0" applyFill="1"/>
    <xf numFmtId="0" fontId="1" fillId="3" borderId="0" xfId="0" applyFont="1" applyFill="1"/>
    <xf numFmtId="0" fontId="0" fillId="4" borderId="0" xfId="0" applyFill="1"/>
    <xf numFmtId="166" fontId="1" fillId="2" borderId="2" xfId="0" applyNumberFormat="1" applyFont="1" applyFill="1" applyBorder="1" applyAlignment="1">
      <alignment horizontal="center"/>
    </xf>
    <xf numFmtId="166" fontId="0" fillId="0" borderId="1" xfId="0" applyNumberFormat="1" applyBorder="1"/>
    <xf numFmtId="166" fontId="0" fillId="0" borderId="0" xfId="0" applyNumberFormat="1"/>
    <xf numFmtId="166" fontId="1" fillId="2" borderId="1" xfId="0" applyNumberFormat="1" applyFont="1" applyFill="1" applyBorder="1" applyAlignment="1">
      <alignment horizontal="center"/>
    </xf>
    <xf numFmtId="0" fontId="1" fillId="0" borderId="0" xfId="0" applyFont="1" applyAlignment="1">
      <alignment horizontal="left"/>
    </xf>
    <xf numFmtId="172" fontId="0" fillId="0" borderId="0" xfId="0" applyNumberFormat="1"/>
  </cellXfs>
  <cellStyles count="1">
    <cellStyle name="Normal" xfId="0" builtinId="0"/>
  </cellStyles>
  <dxfs count="4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
    </dxf>
    <dxf>
      <numFmt numFmtId="166"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
    </dxf>
    <dxf>
      <numFmt numFmtId="166" formatCode="[$$-409]#,##0"/>
    </dxf>
    <dxf>
      <numFmt numFmtId="171" formatCode="#,##0.0\ [$$-C0C]"/>
    </dxf>
    <dxf>
      <numFmt numFmtId="172" formatCode="#,##0\ [$$-C0C]"/>
    </dxf>
    <dxf>
      <numFmt numFmtId="171" formatCode="#,##0.0\ [$$-C0C]"/>
    </dxf>
    <dxf>
      <numFmt numFmtId="170" formatCode="#,##0.00\ [$$-C0C]"/>
    </dxf>
    <dxf>
      <numFmt numFmtId="170" formatCode="#,##0.00\ [$$-C0C]"/>
    </dxf>
    <dxf>
      <numFmt numFmtId="171" formatCode="#,##0.0\ [$$-C0C]"/>
    </dxf>
    <dxf>
      <numFmt numFmtId="172" formatCode="#,##0\ [$$-C0C]"/>
    </dxf>
    <dxf>
      <numFmt numFmtId="171" formatCode="#,##0.0\ [$$-C0C]"/>
    </dxf>
    <dxf>
      <numFmt numFmtId="170" formatCode="#,##0.00\ [$$-C0C]"/>
    </dxf>
    <dxf>
      <numFmt numFmtId="170" formatCode="#,##0.00\ [$$-C0C]"/>
    </dxf>
    <dxf>
      <numFmt numFmtId="166" formatCode="[$$-409]#,##0"/>
    </dxf>
    <dxf>
      <numFmt numFmtId="166"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409]#,##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[Harshali_Bhopale_Apex_Capstone.xlsx]Pivot!PivotTable1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a:t>Total Profit by Product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Pivot!$A$4:$A$10</c:f>
              <c:strCache>
                <c:ptCount val="6"/>
                <c:pt idx="0">
                  <c:v>Dual Monitor Arm</c:v>
                </c:pt>
                <c:pt idx="1">
                  <c:v>Ergo Office Chair</c:v>
                </c:pt>
                <c:pt idx="2">
                  <c:v>Mech Keyboard RGB</c:v>
                </c:pt>
                <c:pt idx="3">
                  <c:v>Oak Standing Desk</c:v>
                </c:pt>
                <c:pt idx="4">
                  <c:v>Smart LED Lamp</c:v>
                </c:pt>
                <c:pt idx="5">
                  <c:v>Wireless Mouse X1</c:v>
                </c:pt>
              </c:strCache>
            </c:strRef>
          </c:cat>
          <c:val>
            <c:numRef>
              <c:f>Pivot!$B$4:$B$10</c:f>
              <c:numCache>
                <c:formatCode>[$$-409]#,##0</c:formatCode>
                <c:ptCount val="6"/>
                <c:pt idx="0">
                  <c:v>450</c:v>
                </c:pt>
                <c:pt idx="1">
                  <c:v>2969.8199999999997</c:v>
                </c:pt>
                <c:pt idx="2">
                  <c:v>5354.3700000000017</c:v>
                </c:pt>
                <c:pt idx="3">
                  <c:v>4350</c:v>
                </c:pt>
                <c:pt idx="4">
                  <c:v>450</c:v>
                </c:pt>
                <c:pt idx="5">
                  <c:v>2144.2200000000003</c:v>
                </c:pt>
              </c:numCache>
            </c:numRef>
          </c:val>
          <c:extLst>
            <c:ext xmlns:c16="http://schemas.microsoft.com/office/drawing/2014/chart" uri="{C3380CC4-5D6E-409C-BE32-E72D297353CC}">
              <c16:uniqueId val="{00000000-4BF1-483A-90B2-E95CE8FD3D23}"/>
            </c:ext>
          </c:extLst>
        </c:ser>
        <c:dLbls>
          <c:dLblPos val="outEnd"/>
          <c:showLegendKey val="0"/>
          <c:showVal val="1"/>
          <c:showCatName val="0"/>
          <c:showSerName val="0"/>
          <c:showPercent val="0"/>
          <c:showBubbleSize val="0"/>
        </c:dLbls>
        <c:gapWidth val="219"/>
        <c:overlap val="-27"/>
        <c:axId val="398905696"/>
        <c:axId val="398913856"/>
      </c:barChart>
      <c:catAx>
        <c:axId val="39890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98913856"/>
        <c:crosses val="autoZero"/>
        <c:auto val="1"/>
        <c:lblAlgn val="ctr"/>
        <c:lblOffset val="100"/>
        <c:noMultiLvlLbl val="0"/>
      </c:catAx>
      <c:valAx>
        <c:axId val="398913856"/>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39890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lumMod val="15000"/>
          <a:lumOff val="85000"/>
        </a:schemeClr>
      </a:solidFill>
      <a:round/>
    </a:ln>
    <a:effectLst/>
  </c:spPr>
  <c:txPr>
    <a:bodyPr/>
    <a:lstStyle/>
    <a:p>
      <a:pPr>
        <a:defRPr sz="1000"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[Harshali_Bhopale_Apex_Capstone.xlsx]Pivot!PivotTable2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Delays</a:t>
            </a:r>
          </a:p>
        </c:rich>
      </c:tx>
      <c:layout>
        <c:manualLayout>
          <c:xMode val="edge"/>
          <c:yMode val="edge"/>
          <c:x val="0.35002209682721896"/>
          <c:y val="3.5588071176142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Pivot!$B$21:$B$22</c:f>
              <c:strCache>
                <c:ptCount val="1"/>
                <c:pt idx="0">
                  <c:v>Late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B9-4C1C-BF6C-7CB1DB7BC5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B9-4C1C-BF6C-7CB1DB7BC5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B9-4C1C-BF6C-7CB1DB7BC5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B9-4C1C-BF6C-7CB1DB7BC5D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Pivot!$A$23:$A$27</c:f>
              <c:strCache>
                <c:ptCount val="4"/>
                <c:pt idx="0">
                  <c:v>East</c:v>
                </c:pt>
                <c:pt idx="1">
                  <c:v>North</c:v>
                </c:pt>
                <c:pt idx="2">
                  <c:v>South</c:v>
                </c:pt>
                <c:pt idx="3">
                  <c:v>West</c:v>
                </c:pt>
              </c:strCache>
            </c:strRef>
          </c:cat>
          <c:val>
            <c:numRef>
              <c:f>Pivot!$B$23:$B$27</c:f>
              <c:numCache>
                <c:formatCode>General</c:formatCode>
                <c:ptCount val="4"/>
                <c:pt idx="0">
                  <c:v>6</c:v>
                </c:pt>
                <c:pt idx="2">
                  <c:v>6</c:v>
                </c:pt>
                <c:pt idx="3">
                  <c:v>3</c:v>
                </c:pt>
              </c:numCache>
            </c:numRef>
          </c:val>
          <c:extLst>
            <c:ext xmlns:c16="http://schemas.microsoft.com/office/drawing/2014/chart" uri="{C3380CC4-5D6E-409C-BE32-E72D297353CC}">
              <c16:uniqueId val="{00000000-1CD6-478F-A945-8D3F0A55309F}"/>
            </c:ext>
          </c:extLst>
        </c:ser>
        <c:ser>
          <c:idx val="1"/>
          <c:order val="1"/>
          <c:tx>
            <c:strRef>
              <c:f>Pivot!$C$21:$C$22</c:f>
              <c:strCache>
                <c:ptCount val="1"/>
                <c:pt idx="0">
                  <c:v>On Time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ACB9-4C1C-BF6C-7CB1DB7BC5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ACB9-4C1C-BF6C-7CB1DB7BC5D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ACB9-4C1C-BF6C-7CB1DB7BC5D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ACB9-4C1C-BF6C-7CB1DB7BC5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Pivot!$A$23:$A$27</c:f>
              <c:strCache>
                <c:ptCount val="4"/>
                <c:pt idx="0">
                  <c:v>East</c:v>
                </c:pt>
                <c:pt idx="1">
                  <c:v>North</c:v>
                </c:pt>
                <c:pt idx="2">
                  <c:v>South</c:v>
                </c:pt>
                <c:pt idx="3">
                  <c:v>West</c:v>
                </c:pt>
              </c:strCache>
            </c:strRef>
          </c:cat>
          <c:val>
            <c:numRef>
              <c:f>Pivot!$C$23:$C$27</c:f>
              <c:numCache>
                <c:formatCode>General</c:formatCode>
                <c:ptCount val="4"/>
                <c:pt idx="0">
                  <c:v>3</c:v>
                </c:pt>
                <c:pt idx="1">
                  <c:v>18</c:v>
                </c:pt>
                <c:pt idx="2">
                  <c:v>3</c:v>
                </c:pt>
                <c:pt idx="3">
                  <c:v>6</c:v>
                </c:pt>
              </c:numCache>
            </c:numRef>
          </c:val>
          <c:extLst>
            <c:ext xmlns:c16="http://schemas.microsoft.com/office/drawing/2014/chart" uri="{C3380CC4-5D6E-409C-BE32-E72D297353CC}">
              <c16:uniqueId val="{00000005-1CD6-478F-A945-8D3F0A55309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[Harshali_Bhopale_Apex_Capstone.xlsx]Pivot!PivotTable3</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Total Revenue by Membership Tier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Pivot!$A$14:$A$17</c:f>
              <c:strCache>
                <c:ptCount val="3"/>
                <c:pt idx="0">
                  <c:v>Bronze</c:v>
                </c:pt>
                <c:pt idx="1">
                  <c:v>Gold</c:v>
                </c:pt>
                <c:pt idx="2">
                  <c:v>Silver</c:v>
                </c:pt>
              </c:strCache>
            </c:strRef>
          </c:cat>
          <c:val>
            <c:numRef>
              <c:f>Pivot!$B$14:$B$17</c:f>
              <c:numCache>
                <c:formatCode>[$$-409]#,##0</c:formatCode>
                <c:ptCount val="3"/>
                <c:pt idx="0">
                  <c:v>1020</c:v>
                </c:pt>
                <c:pt idx="1">
                  <c:v>3090</c:v>
                </c:pt>
                <c:pt idx="2">
                  <c:v>4080</c:v>
                </c:pt>
              </c:numCache>
            </c:numRef>
          </c:val>
          <c:extLst>
            <c:ext xmlns:c16="http://schemas.microsoft.com/office/drawing/2014/chart" uri="{C3380CC4-5D6E-409C-BE32-E72D297353CC}">
              <c16:uniqueId val="{00000000-32DC-4901-A318-845E312FE047}"/>
            </c:ext>
          </c:extLst>
        </c:ser>
        <c:dLbls>
          <c:dLblPos val="outEnd"/>
          <c:showLegendKey val="0"/>
          <c:showVal val="1"/>
          <c:showCatName val="0"/>
          <c:showSerName val="0"/>
          <c:showPercent val="0"/>
          <c:showBubbleSize val="0"/>
        </c:dLbls>
        <c:gapWidth val="219"/>
        <c:overlap val="-27"/>
        <c:axId val="398945056"/>
        <c:axId val="398948416"/>
      </c:barChart>
      <c:catAx>
        <c:axId val="39894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8948416"/>
        <c:crosses val="autoZero"/>
        <c:auto val="1"/>
        <c:lblAlgn val="ctr"/>
        <c:lblOffset val="100"/>
        <c:noMultiLvlLbl val="0"/>
      </c:catAx>
      <c:valAx>
        <c:axId val="398948416"/>
        <c:scaling>
          <c:orientation val="minMax"/>
        </c:scaling>
        <c:delete val="0"/>
        <c:axPos val="l"/>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9894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19</xdr:col>
      <xdr:colOff>472440</xdr:colOff>
      <xdr:row>0</xdr:row>
      <xdr:rowOff>48260</xdr:rowOff>
    </xdr:from>
    <xdr:to>
      <xdr:col>31</xdr:col>
      <xdr:colOff>19050</xdr:colOff>
      <xdr:row>49</xdr:row>
      <xdr:rowOff>0</xdr:rowOff>
    </xdr:to>
    <xdr:sp macro="" textlink="">
      <xdr:nvSpPr>
        <xdr:cNvPr id="2" name="TextBox 1">
          <a:extLst>
            <a:ext uri="{FF2B5EF4-FFF2-40B4-BE49-F238E27FC236}">
              <a16:creationId xmlns:a16="http://schemas.microsoft.com/office/drawing/2014/main" id="{428AA2C1-3196-D29F-0A05-860DAC3AD83A}"/>
            </a:ext>
          </a:extLst>
        </xdr:cNvPr>
        <xdr:cNvSpPr txBox="1"/>
      </xdr:nvSpPr>
      <xdr:spPr>
        <a:xfrm>
          <a:off x="14531340" y="48260"/>
          <a:ext cx="6861810" cy="11153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CAPSTONE PROJECT: Apex Global Logistics Dashboard</a:t>
          </a:r>
        </a:p>
        <a:p>
          <a:r>
            <a:rPr lang="en-IN" b="1"/>
            <a:t>Role:</a:t>
          </a:r>
          <a:r>
            <a:rPr lang="en-IN"/>
            <a:t> Junior Data Analyst</a:t>
          </a:r>
        </a:p>
        <a:p>
          <a:r>
            <a:rPr lang="en-IN" b="1"/>
            <a:t>Company:</a:t>
          </a:r>
          <a:r>
            <a:rPr lang="en-IN"/>
            <a:t> Apex Global Logistics</a:t>
          </a:r>
        </a:p>
        <a:p>
          <a:r>
            <a:rPr lang="en-IN" b="1"/>
            <a:t>Tools:</a:t>
          </a:r>
          <a:r>
            <a:rPr lang="en-IN"/>
            <a:t> Microsoft Excel (Advanced)</a:t>
          </a:r>
        </a:p>
        <a:p>
          <a:r>
            <a:rPr lang="en-IN" b="1"/>
            <a:t>1. The Scenario</a:t>
          </a:r>
        </a:p>
        <a:p>
          <a:r>
            <a:rPr lang="en-IN"/>
            <a:t>You have just joined the Supply Chain team at Apex Global. The Sales Director has emailed you three raw data files exported from the company's legacy systems:</a:t>
          </a:r>
        </a:p>
        <a:p>
          <a:r>
            <a:rPr lang="en-IN" b="1"/>
            <a:t>Raw_Orders:</a:t>
          </a:r>
          <a:r>
            <a:rPr lang="en-IN"/>
            <a:t> A transactional list of recent shipments.</a:t>
          </a:r>
        </a:p>
        <a:p>
          <a:r>
            <a:rPr lang="en-IN" b="1"/>
            <a:t>Product_Master:</a:t>
          </a:r>
          <a:r>
            <a:rPr lang="en-IN"/>
            <a:t> A price list of all items.</a:t>
          </a:r>
        </a:p>
        <a:p>
          <a:r>
            <a:rPr lang="en-IN" b="1"/>
            <a:t>Customer_Database:</a:t>
          </a:r>
          <a:r>
            <a:rPr lang="en-IN"/>
            <a:t> A contact list that was manually typed in (and contains errors).</a:t>
          </a:r>
        </a:p>
        <a:p>
          <a:r>
            <a:rPr lang="en-IN"/>
            <a:t>Your manager needs a </a:t>
          </a:r>
          <a:r>
            <a:rPr lang="en-IN" b="1"/>
            <a:t>Dynamic Executive Dashboard</a:t>
          </a:r>
          <a:r>
            <a:rPr lang="en-IN"/>
            <a:t> by the end of the day. The current data is fragmented, messy, and lacks key profitability metrics.</a:t>
          </a:r>
        </a:p>
        <a:p>
          <a:r>
            <a:rPr lang="en-IN" b="1">
              <a:solidFill>
                <a:srgbClr val="FF0000"/>
              </a:solidFill>
            </a:rPr>
            <a:t>2. Your Mission (Tasks)</a:t>
          </a:r>
        </a:p>
        <a:p>
          <a:r>
            <a:rPr lang="en-IN" b="1">
              <a:solidFill>
                <a:srgbClr val="FF0000"/>
              </a:solidFill>
            </a:rPr>
            <a:t>Part A: Data Cleaning (Text Functions)</a:t>
          </a:r>
        </a:p>
        <a:p>
          <a:r>
            <a:rPr lang="en-IN" i="1">
              <a:solidFill>
                <a:srgbClr val="FF0000"/>
              </a:solidFill>
            </a:rPr>
            <a:t>The Customer Database is a mess. We cannot send emails to clients with lowercase names or extra spaces.</a:t>
          </a:r>
          <a:endParaRPr lang="en-IN">
            <a:solidFill>
              <a:srgbClr val="FF0000"/>
            </a:solidFill>
          </a:endParaRPr>
        </a:p>
        <a:p>
          <a:r>
            <a:rPr lang="en-IN">
              <a:solidFill>
                <a:srgbClr val="FF0000"/>
              </a:solidFill>
            </a:rPr>
            <a:t>Navigate to the </a:t>
          </a:r>
          <a:r>
            <a:rPr lang="en-IN" b="1">
              <a:solidFill>
                <a:srgbClr val="FF0000"/>
              </a:solidFill>
            </a:rPr>
            <a:t>Customer_Database</a:t>
          </a:r>
          <a:r>
            <a:rPr lang="en-IN">
              <a:solidFill>
                <a:srgbClr val="FF0000"/>
              </a:solidFill>
            </a:rPr>
            <a:t> sheet.</a:t>
          </a:r>
        </a:p>
        <a:p>
          <a:r>
            <a:rPr lang="en-IN">
              <a:solidFill>
                <a:srgbClr val="FF0000"/>
              </a:solidFill>
            </a:rPr>
            <a:t>Create a column </a:t>
          </a:r>
          <a:r>
            <a:rPr lang="en-IN" b="1">
              <a:solidFill>
                <a:srgbClr val="FF0000"/>
              </a:solidFill>
            </a:rPr>
            <a:t>"Clean Name"</a:t>
          </a:r>
          <a:r>
            <a:rPr lang="en-IN">
              <a:solidFill>
                <a:srgbClr val="FF0000"/>
              </a:solidFill>
            </a:rPr>
            <a:t>. Use Excel formulas to ensure all names are Proper Case (e.g., "John Smith") and have no leading/trailing spaces.</a:t>
          </a:r>
        </a:p>
        <a:p>
          <a:r>
            <a:rPr lang="en-IN">
              <a:solidFill>
                <a:srgbClr val="FF0000"/>
              </a:solidFill>
            </a:rPr>
            <a:t>Create a column </a:t>
          </a:r>
          <a:r>
            <a:rPr lang="en-IN" b="1">
              <a:solidFill>
                <a:srgbClr val="FF0000"/>
              </a:solidFill>
            </a:rPr>
            <a:t>"Email Domain"</a:t>
          </a:r>
          <a:r>
            <a:rPr lang="en-IN">
              <a:solidFill>
                <a:srgbClr val="FF0000"/>
              </a:solidFill>
            </a:rPr>
            <a:t>. Extract </a:t>
          </a:r>
          <a:r>
            <a:rPr lang="en-IN" i="1">
              <a:solidFill>
                <a:srgbClr val="FF0000"/>
              </a:solidFill>
            </a:rPr>
            <a:t>only</a:t>
          </a:r>
          <a:r>
            <a:rPr lang="en-IN">
              <a:solidFill>
                <a:srgbClr val="FF0000"/>
              </a:solidFill>
            </a:rPr>
            <a:t> the domain name from the email address (e.g., extract "gmail.com" from "j.smith@gmail.com").</a:t>
          </a:r>
        </a:p>
        <a:p>
          <a:r>
            <a:rPr lang="en-IN" b="1"/>
            <a:t>Part B: Data Integration (Advanced Lookups)</a:t>
          </a:r>
        </a:p>
        <a:p>
          <a:r>
            <a:rPr lang="en-IN" i="1"/>
            <a:t>The Orders sheet is missing product details and customer names. Connect the datasets.</a:t>
          </a:r>
          <a:endParaRPr lang="en-IN"/>
        </a:p>
        <a:p>
          <a:r>
            <a:rPr lang="en-IN"/>
            <a:t>Navigate to the </a:t>
          </a:r>
          <a:r>
            <a:rPr lang="en-IN" b="1"/>
            <a:t>Raw_Orders</a:t>
          </a:r>
          <a:r>
            <a:rPr lang="en-IN"/>
            <a:t> sheet.</a:t>
          </a:r>
        </a:p>
        <a:p>
          <a:r>
            <a:rPr lang="en-IN"/>
            <a:t>Bring in </a:t>
          </a:r>
          <a:r>
            <a:rPr lang="en-IN" b="1"/>
            <a:t>Product Name</a:t>
          </a:r>
          <a:r>
            <a:rPr lang="en-IN"/>
            <a:t>, </a:t>
          </a:r>
          <a:r>
            <a:rPr lang="en-IN" b="1"/>
            <a:t>Category</a:t>
          </a:r>
          <a:r>
            <a:rPr lang="en-IN"/>
            <a:t>, </a:t>
          </a:r>
          <a:r>
            <a:rPr lang="en-IN" b="1"/>
            <a:t>Unit Cost</a:t>
          </a:r>
          <a:r>
            <a:rPr lang="en-IN"/>
            <a:t>, and </a:t>
          </a:r>
          <a:r>
            <a:rPr lang="en-IN" b="1"/>
            <a:t>Unit Price</a:t>
          </a:r>
          <a:r>
            <a:rPr lang="en-IN"/>
            <a:t> from the </a:t>
          </a:r>
          <a:r>
            <a:rPr lang="en-IN" i="1"/>
            <a:t>Product_Master</a:t>
          </a:r>
          <a:r>
            <a:rPr lang="en-IN"/>
            <a:t> sheet based on the </a:t>
          </a:r>
          <a:r>
            <a:rPr lang="en-IN" sz="1100">
              <a:solidFill>
                <a:schemeClr val="dk1"/>
              </a:solidFill>
              <a:latin typeface="+mn-lt"/>
              <a:ea typeface="+mn-ea"/>
              <a:cs typeface="+mn-cs"/>
            </a:rPr>
            <a:t>Prod_ID</a:t>
          </a:r>
          <a:r>
            <a:rPr lang="en-IN"/>
            <a:t>.</a:t>
          </a:r>
        </a:p>
        <a:p>
          <a:r>
            <a:rPr lang="en-IN"/>
            <a:t>Bring in the </a:t>
          </a:r>
          <a:r>
            <a:rPr lang="en-IN" b="1"/>
            <a:t>Clean Name</a:t>
          </a:r>
          <a:r>
            <a:rPr lang="en-IN"/>
            <a:t> and </a:t>
          </a:r>
          <a:r>
            <a:rPr lang="en-IN" b="1"/>
            <a:t>Membership_Tier</a:t>
          </a:r>
          <a:r>
            <a:rPr lang="en-IN"/>
            <a:t> from the </a:t>
          </a:r>
          <a:r>
            <a:rPr lang="en-IN" i="1"/>
            <a:t>Customer_Database</a:t>
          </a:r>
          <a:r>
            <a:rPr lang="en-IN"/>
            <a:t> sheet based on the </a:t>
          </a:r>
          <a:r>
            <a:rPr lang="en-IN" sz="1100">
              <a:solidFill>
                <a:schemeClr val="dk1"/>
              </a:solidFill>
              <a:latin typeface="+mn-lt"/>
              <a:ea typeface="+mn-ea"/>
              <a:cs typeface="+mn-cs"/>
            </a:rPr>
            <a:t>Cust_ID</a:t>
          </a:r>
          <a:r>
            <a:rPr lang="en-IN"/>
            <a:t>.</a:t>
          </a:r>
        </a:p>
        <a:p>
          <a:r>
            <a:rPr lang="en-IN" b="1"/>
            <a:t>Error Check:</a:t>
          </a:r>
          <a:r>
            <a:rPr lang="en-IN"/>
            <a:t> If a Product ID is not found in the master list, the cell should display "Unknown Item" instead of an error code.</a:t>
          </a:r>
        </a:p>
        <a:p>
          <a:r>
            <a:rPr lang="en-IN" b="1"/>
            <a:t>Part C: Business Logic (IF, AND, OR)</a:t>
          </a:r>
        </a:p>
        <a:p>
          <a:r>
            <a:rPr lang="en-IN" i="1"/>
            <a:t>We need to calculate financial metrics and flag shipping issues.</a:t>
          </a:r>
          <a:endParaRPr lang="en-IN"/>
        </a:p>
        <a:p>
          <a:r>
            <a:rPr lang="en-IN" b="1"/>
            <a:t>Financials:</a:t>
          </a:r>
          <a:r>
            <a:rPr lang="en-IN"/>
            <a:t> Calculate </a:t>
          </a:r>
          <a:r>
            <a:rPr lang="en-IN" b="1"/>
            <a:t>Total Revenue</a:t>
          </a:r>
          <a:r>
            <a:rPr lang="en-IN"/>
            <a:t> (Qty * Price) and </a:t>
          </a:r>
          <a:r>
            <a:rPr lang="en-IN" b="1"/>
            <a:t>Total Profit</a:t>
          </a:r>
          <a:r>
            <a:rPr lang="en-IN"/>
            <a:t> ((Price - Cost) * Qty).</a:t>
          </a:r>
        </a:p>
        <a:p>
          <a:r>
            <a:rPr lang="en-IN" b="1"/>
            <a:t>Shipping Delay Calculation:</a:t>
          </a:r>
          <a:r>
            <a:rPr lang="en-IN"/>
            <a:t> Calculate the </a:t>
          </a:r>
          <a:r>
            <a:rPr lang="en-IN" sz="1100">
              <a:solidFill>
                <a:schemeClr val="dk1"/>
              </a:solidFill>
              <a:latin typeface="+mn-lt"/>
              <a:ea typeface="+mn-ea"/>
              <a:cs typeface="+mn-cs"/>
            </a:rPr>
            <a:t>Days to Ship</a:t>
          </a:r>
          <a:r>
            <a:rPr lang="en-IN"/>
            <a:t> (Ship_Date minus Date).</a:t>
          </a:r>
        </a:p>
        <a:p>
          <a:r>
            <a:rPr lang="en-IN" b="1"/>
            <a:t>SLA Status Flag (Nested Logic):</a:t>
          </a:r>
          <a:endParaRPr lang="en-IN"/>
        </a:p>
        <a:p>
          <a:pPr lvl="1"/>
          <a:r>
            <a:rPr lang="en-IN"/>
            <a:t>Create a column called "Status".</a:t>
          </a:r>
        </a:p>
        <a:p>
          <a:pPr lvl="1"/>
          <a:r>
            <a:rPr lang="en-IN"/>
            <a:t>If </a:t>
          </a:r>
          <a:r>
            <a:rPr lang="en-IN" sz="1100">
              <a:solidFill>
                <a:schemeClr val="dk1"/>
              </a:solidFill>
              <a:latin typeface="+mn-lt"/>
              <a:ea typeface="+mn-ea"/>
              <a:cs typeface="+mn-cs"/>
            </a:rPr>
            <a:t>Days to Ship</a:t>
          </a:r>
          <a:r>
            <a:rPr lang="en-IN"/>
            <a:t> is </a:t>
          </a:r>
          <a:r>
            <a:rPr lang="en-IN" b="1"/>
            <a:t>greater than 5</a:t>
          </a:r>
          <a:r>
            <a:rPr lang="en-IN"/>
            <a:t>, mark as </a:t>
          </a:r>
          <a:r>
            <a:rPr lang="en-IN" b="1"/>
            <a:t>"Late"</a:t>
          </a:r>
          <a:r>
            <a:rPr lang="en-IN"/>
            <a:t>.</a:t>
          </a:r>
        </a:p>
        <a:p>
          <a:pPr lvl="1"/>
          <a:r>
            <a:rPr lang="en-IN"/>
            <a:t>If </a:t>
          </a:r>
          <a:r>
            <a:rPr lang="en-IN" sz="1100">
              <a:solidFill>
                <a:schemeClr val="dk1"/>
              </a:solidFill>
              <a:latin typeface="+mn-lt"/>
              <a:ea typeface="+mn-ea"/>
              <a:cs typeface="+mn-cs"/>
            </a:rPr>
            <a:t>Days to Ship</a:t>
          </a:r>
          <a:r>
            <a:rPr lang="en-IN"/>
            <a:t> is </a:t>
          </a:r>
          <a:r>
            <a:rPr lang="en-IN" b="1"/>
            <a:t>5 or less</a:t>
          </a:r>
          <a:r>
            <a:rPr lang="en-IN"/>
            <a:t>, mark as </a:t>
          </a:r>
          <a:r>
            <a:rPr lang="en-IN" b="1"/>
            <a:t>"On Time"</a:t>
          </a:r>
          <a:r>
            <a:rPr lang="en-IN"/>
            <a:t>.</a:t>
          </a:r>
        </a:p>
        <a:p>
          <a:pPr lvl="1"/>
          <a:r>
            <a:rPr lang="en-IN" i="1"/>
            <a:t>Advanced Requirement:</a:t>
          </a:r>
          <a:r>
            <a:rPr lang="en-IN"/>
            <a:t> If the shipment is "Late" </a:t>
          </a:r>
          <a:r>
            <a:rPr lang="en-IN" b="1"/>
            <a:t>AND</a:t>
          </a:r>
          <a:r>
            <a:rPr lang="en-IN"/>
            <a:t> the Region is "North", mark it as </a:t>
          </a:r>
          <a:r>
            <a:rPr lang="en-IN" b="1"/>
            <a:t>"CRITICAL DELAY"</a:t>
          </a:r>
          <a:r>
            <a:rPr lang="en-IN"/>
            <a:t>.</a:t>
          </a:r>
        </a:p>
        <a:p>
          <a:r>
            <a:rPr lang="en-IN" b="1"/>
            <a:t>Valid Promo Check:</a:t>
          </a:r>
          <a:endParaRPr lang="en-IN"/>
        </a:p>
        <a:p>
          <a:pPr lvl="1"/>
          <a:r>
            <a:rPr lang="en-IN"/>
            <a:t>Create a column "Promo Valid?".</a:t>
          </a:r>
        </a:p>
        <a:p>
          <a:pPr lvl="1"/>
          <a:r>
            <a:rPr lang="en-IN"/>
            <a:t>Return </a:t>
          </a:r>
          <a:r>
            <a:rPr lang="en-IN" b="1"/>
            <a:t>TRUE</a:t>
          </a:r>
          <a:r>
            <a:rPr lang="en-IN"/>
            <a:t> if the Promo Code is "WELCOME10" </a:t>
          </a:r>
          <a:r>
            <a:rPr lang="en-IN" b="1"/>
            <a:t>OR</a:t>
          </a:r>
          <a:r>
            <a:rPr lang="en-IN"/>
            <a:t> "FREESHIP". Otherwise, return </a:t>
          </a:r>
          <a:r>
            <a:rPr lang="en-IN" b="1"/>
            <a:t>FALSE</a:t>
          </a:r>
          <a:r>
            <a:rPr lang="en-IN"/>
            <a:t>.</a:t>
          </a:r>
        </a:p>
        <a:p>
          <a:r>
            <a:rPr lang="en-IN" b="1"/>
            <a:t>Part D: Dashboard &amp; Visualization (Pivots &amp; Slicers)</a:t>
          </a:r>
        </a:p>
        <a:p>
          <a:r>
            <a:rPr lang="en-IN" i="1"/>
            <a:t>Create a visual summary for the Director.</a:t>
          </a:r>
          <a:endParaRPr lang="en-IN"/>
        </a:p>
        <a:p>
          <a:r>
            <a:rPr lang="en-IN"/>
            <a:t>Create a new sheet named </a:t>
          </a:r>
          <a:r>
            <a:rPr lang="en-IN" b="1"/>
            <a:t>"Executive_Dashboard"</a:t>
          </a:r>
          <a:r>
            <a:rPr lang="en-IN"/>
            <a:t>.</a:t>
          </a:r>
        </a:p>
        <a:p>
          <a:r>
            <a:rPr lang="en-IN" b="1"/>
            <a:t>Pivot Table 1:</a:t>
          </a:r>
          <a:r>
            <a:rPr lang="en-IN"/>
            <a:t> Total Profit by </a:t>
          </a:r>
          <a:r>
            <a:rPr lang="en-IN" b="1"/>
            <a:t>Product Category</a:t>
          </a:r>
          <a:r>
            <a:rPr lang="en-IN"/>
            <a:t>.</a:t>
          </a:r>
        </a:p>
        <a:p>
          <a:r>
            <a:rPr lang="en-IN" b="1"/>
            <a:t>Pivot Table 2:</a:t>
          </a:r>
          <a:r>
            <a:rPr lang="en-IN"/>
            <a:t> Count of "Critical Delays" by </a:t>
          </a:r>
          <a:r>
            <a:rPr lang="en-IN" b="1"/>
            <a:t>Region</a:t>
          </a:r>
          <a:r>
            <a:rPr lang="en-IN"/>
            <a:t>.</a:t>
          </a:r>
        </a:p>
        <a:p>
          <a:r>
            <a:rPr lang="en-IN" b="1"/>
            <a:t>Pivot Table 3:</a:t>
          </a:r>
          <a:r>
            <a:rPr lang="en-IN"/>
            <a:t> Total Revenue by </a:t>
          </a:r>
          <a:r>
            <a:rPr lang="en-IN" b="1"/>
            <a:t>Membership Tier</a:t>
          </a:r>
          <a:r>
            <a:rPr lang="en-IN"/>
            <a:t>.</a:t>
          </a:r>
        </a:p>
        <a:p>
          <a:r>
            <a:rPr lang="en-IN" b="1"/>
            <a:t>Slicers:</a:t>
          </a:r>
          <a:r>
            <a:rPr lang="en-IN"/>
            <a:t> Add a Timeline Slicer (Date) and a Category Slicer. Connect them to all Pivot Tables.</a:t>
          </a:r>
        </a:p>
        <a:p>
          <a:r>
            <a:rPr lang="en-IN" b="1"/>
            <a:t>Charts:</a:t>
          </a:r>
          <a:r>
            <a:rPr lang="en-IN"/>
            <a:t> Create one Column Chart and one Pie Chart representing the data.</a:t>
          </a:r>
        </a:p>
        <a:p>
          <a:r>
            <a:rPr lang="en-IN" b="1"/>
            <a:t>3. Submission Guidelines</a:t>
          </a:r>
        </a:p>
        <a:p>
          <a:r>
            <a:rPr lang="en-IN"/>
            <a:t>Ensure all formulas are dynamic.</a:t>
          </a:r>
        </a:p>
        <a:p>
          <a:r>
            <a:rPr lang="en-IN"/>
            <a:t>Format currency cells as </a:t>
          </a:r>
          <a:r>
            <a:rPr lang="en-IN" sz="1100">
              <a:solidFill>
                <a:schemeClr val="dk1"/>
              </a:solidFill>
              <a:latin typeface="+mn-lt"/>
              <a:ea typeface="+mn-ea"/>
              <a:cs typeface="+mn-cs"/>
            </a:rPr>
            <a:t>$</a:t>
          </a:r>
          <a:r>
            <a:rPr lang="en-IN"/>
            <a:t> and dates as </a:t>
          </a:r>
          <a:r>
            <a:rPr lang="en-IN" sz="1100">
              <a:solidFill>
                <a:schemeClr val="dk1"/>
              </a:solidFill>
              <a:latin typeface="+mn-lt"/>
              <a:ea typeface="+mn-ea"/>
              <a:cs typeface="+mn-cs"/>
            </a:rPr>
            <a:t>DD-MMM-YY</a:t>
          </a:r>
          <a:r>
            <a:rPr lang="en-IN"/>
            <a:t>.</a:t>
          </a:r>
        </a:p>
        <a:p>
          <a:r>
            <a:rPr lang="en-IN"/>
            <a:t>Rename your file </a:t>
          </a:r>
          <a:r>
            <a:rPr lang="en-IN" sz="1100">
              <a:solidFill>
                <a:schemeClr val="dk1"/>
              </a:solidFill>
              <a:latin typeface="+mn-lt"/>
              <a:ea typeface="+mn-ea"/>
              <a:cs typeface="+mn-cs"/>
            </a:rPr>
            <a:t>Firstname_Lastname_Apex_Capstone.xlsx</a:t>
          </a:r>
          <a:r>
            <a:rPr lang="en-IN"/>
            <a:t>.</a:t>
          </a:r>
        </a:p>
        <a:p>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317500</xdr:colOff>
      <xdr:row>3</xdr:row>
      <xdr:rowOff>6350</xdr:rowOff>
    </xdr:from>
    <xdr:to>
      <xdr:col>13</xdr:col>
      <xdr:colOff>685800</xdr:colOff>
      <xdr:row>10</xdr:row>
      <xdr:rowOff>6350</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218C2CBC-2D08-1020-D268-5CE5A8A5C78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956550" y="558800"/>
              <a:ext cx="1587500" cy="1289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101600</xdr:colOff>
      <xdr:row>3</xdr:row>
      <xdr:rowOff>13970</xdr:rowOff>
    </xdr:from>
    <xdr:to>
      <xdr:col>11</xdr:col>
      <xdr:colOff>209550</xdr:colOff>
      <xdr:row>10</xdr:row>
      <xdr:rowOff>6350</xdr:rowOff>
    </xdr:to>
    <mc:AlternateContent xmlns:mc="http://schemas.openxmlformats.org/markup-compatibility/2006" xmlns:tsle="http://schemas.microsoft.com/office/drawing/2012/timeslicer">
      <mc:Choice Requires="tsle">
        <xdr:graphicFrame macro="">
          <xdr:nvGraphicFramePr>
            <xdr:cNvPr id="4" name="Date">
              <a:extLst>
                <a:ext uri="{FF2B5EF4-FFF2-40B4-BE49-F238E27FC236}">
                  <a16:creationId xmlns:a16="http://schemas.microsoft.com/office/drawing/2014/main" id="{6C9EE99A-8496-2354-C107-430AB15D7502}"/>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5302250" y="566420"/>
              <a:ext cx="2546350" cy="128143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63500</xdr:colOff>
      <xdr:row>3</xdr:row>
      <xdr:rowOff>21590</xdr:rowOff>
    </xdr:from>
    <xdr:to>
      <xdr:col>7</xdr:col>
      <xdr:colOff>19050</xdr:colOff>
      <xdr:row>14</xdr:row>
      <xdr:rowOff>88900</xdr:rowOff>
    </xdr:to>
    <xdr:graphicFrame macro="">
      <xdr:nvGraphicFramePr>
        <xdr:cNvPr id="5" name="Chart 4">
          <a:extLst>
            <a:ext uri="{FF2B5EF4-FFF2-40B4-BE49-F238E27FC236}">
              <a16:creationId xmlns:a16="http://schemas.microsoft.com/office/drawing/2014/main" id="{665378BF-9F91-0A26-09A3-754BB68E7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121920</xdr:colOff>
      <xdr:row>10</xdr:row>
      <xdr:rowOff>107950</xdr:rowOff>
    </xdr:from>
    <xdr:to>
      <xdr:col>13</xdr:col>
      <xdr:colOff>679450</xdr:colOff>
      <xdr:row>24</xdr:row>
      <xdr:rowOff>50800</xdr:rowOff>
    </xdr:to>
    <xdr:graphicFrame macro="">
      <xdr:nvGraphicFramePr>
        <xdr:cNvPr id="6" name="Chart 5">
          <a:extLst>
            <a:ext uri="{FF2B5EF4-FFF2-40B4-BE49-F238E27FC236}">
              <a16:creationId xmlns:a16="http://schemas.microsoft.com/office/drawing/2014/main" id="{3B31C06D-4CCA-54AC-7927-A228B2449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63500</xdr:colOff>
      <xdr:row>15</xdr:row>
      <xdr:rowOff>6350</xdr:rowOff>
    </xdr:from>
    <xdr:to>
      <xdr:col>7</xdr:col>
      <xdr:colOff>31750</xdr:colOff>
      <xdr:row>24</xdr:row>
      <xdr:rowOff>50800</xdr:rowOff>
    </xdr:to>
    <xdr:graphicFrame macro="">
      <xdr:nvGraphicFramePr>
        <xdr:cNvPr id="7" name="Chart 6">
          <a:extLst>
            <a:ext uri="{FF2B5EF4-FFF2-40B4-BE49-F238E27FC236}">
              <a16:creationId xmlns:a16="http://schemas.microsoft.com/office/drawing/2014/main" id="{B1E05F48-3A40-3952-7E80-4129A0A9D0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18</xdr:col>
      <xdr:colOff>0</xdr:colOff>
      <xdr:row>2</xdr:row>
      <xdr:rowOff>146050</xdr:rowOff>
    </xdr:to>
    <xdr:sp macro="" textlink="">
      <xdr:nvSpPr>
        <xdr:cNvPr id="8" name="TextBox 7">
          <a:extLst>
            <a:ext uri="{FF2B5EF4-FFF2-40B4-BE49-F238E27FC236}">
              <a16:creationId xmlns:a16="http://schemas.microsoft.com/office/drawing/2014/main" id="{70200D03-4ECD-2B64-4DFC-E37873075DD1}"/>
            </a:ext>
          </a:extLst>
        </xdr:cNvPr>
        <xdr:cNvSpPr txBox="1"/>
      </xdr:nvSpPr>
      <xdr:spPr>
        <a:xfrm>
          <a:off x="0" y="0"/>
          <a:ext cx="12020550" cy="60325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Apex Global Logistics – Sales &amp; Logistics Performance Dashboard</a:t>
          </a:r>
        </a:p>
      </xdr:txBody>
    </xdr:sp>
    <xdr:clientData/>
  </xdr:twoCellAnchor>
  <xdr:twoCellAnchor>
    <xdr:from>
      <xdr:col>16</xdr:col>
      <xdr:colOff>330200</xdr:colOff>
      <xdr:row>3</xdr:row>
      <xdr:rowOff>203200</xdr:rowOff>
    </xdr:from>
    <xdr:to>
      <xdr:col>17</xdr:col>
      <xdr:colOff>463550</xdr:colOff>
      <xdr:row>5</xdr:row>
      <xdr:rowOff>38100</xdr:rowOff>
    </xdr:to>
    <xdr:sp macro="" textlink="Pivot!D4:E4">
      <xdr:nvSpPr>
        <xdr:cNvPr id="10" name="Rectangle 9">
          <a:extLst>
            <a:ext uri="{FF2B5EF4-FFF2-40B4-BE49-F238E27FC236}">
              <a16:creationId xmlns:a16="http://schemas.microsoft.com/office/drawing/2014/main" id="{F0378DDD-0F9E-D641-9DD1-47570A2D1AC0}"/>
            </a:ext>
          </a:extLst>
        </xdr:cNvPr>
        <xdr:cNvSpPr/>
      </xdr:nvSpPr>
      <xdr:spPr>
        <a:xfrm>
          <a:off x="10782300" y="889000"/>
          <a:ext cx="742950" cy="2921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F1376B4-541F-4D1E-A556-4879CFAEA9A3}" type="TxLink">
            <a:rPr lang="en-US" sz="1100" b="0" i="0" u="none" strike="noStrike">
              <a:solidFill>
                <a:srgbClr val="000000"/>
              </a:solidFill>
              <a:latin typeface="Gill Sans MT"/>
            </a:rPr>
            <a:pPr algn="ctr"/>
            <a:t>8,190 $</a:t>
          </a:fld>
          <a:endParaRPr lang="en-IN" sz="1100"/>
        </a:p>
      </xdr:txBody>
    </xdr:sp>
    <xdr:clientData/>
  </xdr:twoCellAnchor>
  <xdr:twoCellAnchor>
    <xdr:from>
      <xdr:col>16</xdr:col>
      <xdr:colOff>336550</xdr:colOff>
      <xdr:row>8</xdr:row>
      <xdr:rowOff>163830</xdr:rowOff>
    </xdr:from>
    <xdr:to>
      <xdr:col>17</xdr:col>
      <xdr:colOff>469900</xdr:colOff>
      <xdr:row>10</xdr:row>
      <xdr:rowOff>0</xdr:rowOff>
    </xdr:to>
    <xdr:sp macro="" textlink="Pivot!D8:E8">
      <xdr:nvSpPr>
        <xdr:cNvPr id="11" name="Rectangle 10">
          <a:extLst>
            <a:ext uri="{FF2B5EF4-FFF2-40B4-BE49-F238E27FC236}">
              <a16:creationId xmlns:a16="http://schemas.microsoft.com/office/drawing/2014/main" id="{A9C68E34-8B95-43B7-85C7-6C30E86E33AF}"/>
            </a:ext>
          </a:extLst>
        </xdr:cNvPr>
        <xdr:cNvSpPr/>
      </xdr:nvSpPr>
      <xdr:spPr>
        <a:xfrm>
          <a:off x="10795000" y="1637030"/>
          <a:ext cx="742950" cy="20447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586FEC9-B3CA-4657-8C4D-47FD337E9110}" type="TxLink">
            <a:rPr lang="en-US" sz="1100" b="0" i="0" u="none" strike="noStrike">
              <a:solidFill>
                <a:srgbClr val="000000"/>
              </a:solidFill>
              <a:latin typeface="Gill Sans MT"/>
            </a:rPr>
            <a:pPr algn="ctr"/>
            <a:t>15,718 $</a:t>
          </a:fld>
          <a:endParaRPr lang="en-IN" sz="1100"/>
        </a:p>
      </xdr:txBody>
    </xdr:sp>
    <xdr:clientData/>
  </xdr:twoCellAnchor>
  <xdr:twoCellAnchor>
    <xdr:from>
      <xdr:col>16</xdr:col>
      <xdr:colOff>400050</xdr:colOff>
      <xdr:row>14</xdr:row>
      <xdr:rowOff>0</xdr:rowOff>
    </xdr:from>
    <xdr:to>
      <xdr:col>17</xdr:col>
      <xdr:colOff>533400</xdr:colOff>
      <xdr:row>15</xdr:row>
      <xdr:rowOff>26670</xdr:rowOff>
    </xdr:to>
    <xdr:sp macro="" textlink="Pivot!D11">
      <xdr:nvSpPr>
        <xdr:cNvPr id="12" name="Rectangle 11">
          <a:extLst>
            <a:ext uri="{FF2B5EF4-FFF2-40B4-BE49-F238E27FC236}">
              <a16:creationId xmlns:a16="http://schemas.microsoft.com/office/drawing/2014/main" id="{31E4D30F-A5B9-464C-A72D-45679C07892A}"/>
            </a:ext>
          </a:extLst>
        </xdr:cNvPr>
        <xdr:cNvSpPr/>
      </xdr:nvSpPr>
      <xdr:spPr>
        <a:xfrm>
          <a:off x="10858500" y="2578100"/>
          <a:ext cx="742950" cy="21082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BB49367-A8F7-4B5F-A704-9BA75C4C1E34}" type="TxLink">
            <a:rPr lang="en-US" sz="1100" b="0" i="0" u="none" strike="noStrike">
              <a:solidFill>
                <a:srgbClr val="000000"/>
              </a:solidFill>
              <a:latin typeface="Gill Sans MT"/>
            </a:rPr>
            <a:pPr algn="ctr"/>
            <a:t>191.92%</a:t>
          </a:fld>
          <a:endParaRPr lang="en-IN" sz="1100"/>
        </a:p>
      </xdr:txBody>
    </xdr:sp>
    <xdr:clientData/>
  </xdr:twoCellAnchor>
  <xdr:twoCellAnchor>
    <xdr:from>
      <xdr:col>16</xdr:col>
      <xdr:colOff>514350</xdr:colOff>
      <xdr:row>18</xdr:row>
      <xdr:rowOff>165100</xdr:rowOff>
    </xdr:from>
    <xdr:to>
      <xdr:col>17</xdr:col>
      <xdr:colOff>647700</xdr:colOff>
      <xdr:row>19</xdr:row>
      <xdr:rowOff>177800</xdr:rowOff>
    </xdr:to>
    <xdr:sp macro="" textlink="Pivot!D14:E14">
      <xdr:nvSpPr>
        <xdr:cNvPr id="14" name="Rectangle 13">
          <a:extLst>
            <a:ext uri="{FF2B5EF4-FFF2-40B4-BE49-F238E27FC236}">
              <a16:creationId xmlns:a16="http://schemas.microsoft.com/office/drawing/2014/main" id="{AA4E5159-FB20-4389-911F-B73C7AC9D9DD}"/>
            </a:ext>
          </a:extLst>
        </xdr:cNvPr>
        <xdr:cNvSpPr/>
      </xdr:nvSpPr>
      <xdr:spPr>
        <a:xfrm>
          <a:off x="10972800" y="3479800"/>
          <a:ext cx="742950" cy="19685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FC757E-3C3F-4907-9F9F-0FCB4E222F18}" type="TxLink">
            <a:rPr lang="en-US" sz="1100" b="0" i="0" u="none" strike="noStrike">
              <a:solidFill>
                <a:srgbClr val="000000"/>
              </a:solidFill>
              <a:latin typeface="Gill Sans MT"/>
            </a:rPr>
            <a:pPr algn="ctr"/>
            <a:t>66.67%</a:t>
          </a:fld>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li Bhopale" refreshedDate="46054.628014814814" createdVersion="8" refreshedVersion="8" minRefreshableVersion="3" recordCount="45" xr:uid="{CF09ED59-69B3-4ED3-BA43-F53A79C896EC}">
  <cacheSource type="worksheet">
    <worksheetSource ref="A1:S46" sheet="Raw_orders"/>
  </cacheSource>
  <cacheFields count="19">
    <cacheField name="OrderID" numFmtId="0">
      <sharedItems/>
    </cacheField>
    <cacheField name="Date" numFmtId="14">
      <sharedItems containsSemiMixedTypes="0" containsNonDate="0" containsDate="1" containsString="0" minDate="2024-01-03T00:00:00" maxDate="2024-01-31T00:00:00" count="15">
        <d v="2024-01-03T00:00:00"/>
        <d v="2024-01-04T00:00:00"/>
        <d v="2024-01-06T00:00:00"/>
        <d v="2024-01-08T00:00:00"/>
        <d v="2024-01-10T00:00:00"/>
        <d v="2024-01-12T00:00:00"/>
        <d v="2024-01-15T00:00:00"/>
        <d v="2024-01-16T00:00:00"/>
        <d v="2024-01-18T00:00:00"/>
        <d v="2024-01-20T00:00:00"/>
        <d v="2024-01-22T00:00:00"/>
        <d v="2024-01-25T00:00:00"/>
        <d v="2024-01-26T00:00:00"/>
        <d v="2024-01-28T00:00:00"/>
        <d v="2024-01-30T00:00:00"/>
      </sharedItems>
    </cacheField>
    <cacheField name="Cust_ID" numFmtId="0">
      <sharedItems/>
    </cacheField>
    <cacheField name="Prod_ID" numFmtId="0">
      <sharedItems/>
    </cacheField>
    <cacheField name="Qty" numFmtId="0">
      <sharedItems containsSemiMixedTypes="0" containsString="0" containsNumber="1" containsInteger="1" minValue="1" maxValue="20"/>
    </cacheField>
    <cacheField name="Ship_Date" numFmtId="14">
      <sharedItems containsSemiMixedTypes="0" containsNonDate="0" containsDate="1" containsString="0" minDate="2024-01-05T00:00:00" maxDate="2024-02-06T00:00:00"/>
    </cacheField>
    <cacheField name="Region" numFmtId="0">
      <sharedItems count="4">
        <s v="North"/>
        <s v="West"/>
        <s v="East"/>
        <s v="South"/>
      </sharedItems>
    </cacheField>
    <cacheField name="Promo_Code" numFmtId="0">
      <sharedItems containsBlank="1"/>
    </cacheField>
    <cacheField name="Product name" numFmtId="0">
      <sharedItems count="6">
        <s v="Wireless Mouse X1"/>
        <s v="Ergo Office Chair"/>
        <s v="Mech Keyboard RGB"/>
        <s v="Dual Monitor Arm"/>
        <s v="Oak Standing Desk"/>
        <s v="Smart LED Lamp"/>
      </sharedItems>
    </cacheField>
    <cacheField name="Category" numFmtId="0">
      <sharedItems count="3">
        <s v="Electronics"/>
        <s v="Furniture"/>
        <s v="Home Decor"/>
      </sharedItems>
    </cacheField>
    <cacheField name="Unit Cost" numFmtId="0">
      <sharedItems containsSemiMixedTypes="0" containsString="0" containsNumber="1" minValue="12.5" maxValue="160"/>
    </cacheField>
    <cacheField name="Unit Price" numFmtId="0">
      <sharedItems containsSemiMixedTypes="0" containsString="0" containsNumber="1" minValue="39.99" maxValue="450"/>
    </cacheField>
    <cacheField name="Clear Name" numFmtId="0">
      <sharedItems/>
    </cacheField>
    <cacheField name="Membership_Tier" numFmtId="0">
      <sharedItems count="3">
        <s v="Gold"/>
        <s v="Bronze"/>
        <s v="Silver"/>
      </sharedItems>
    </cacheField>
    <cacheField name="Total Revenew" numFmtId="165">
      <sharedItems containsSemiMixedTypes="0" containsString="0" containsNumber="1" minValue="12.5" maxValue="480" count="15">
        <n v="62.5"/>
        <n v="85"/>
        <n v="450"/>
        <n v="50"/>
        <n v="12.5"/>
        <n v="480"/>
        <n v="60"/>
        <n v="270"/>
        <n v="170"/>
        <n v="25"/>
        <n v="250"/>
        <n v="255"/>
        <n v="320"/>
        <n v="15"/>
        <n v="225"/>
      </sharedItems>
    </cacheField>
    <cacheField name="Total Profit" numFmtId="0">
      <sharedItems containsSemiMixedTypes="0" containsString="0" containsNumber="1" minValue="27.490000000000002" maxValue="870"/>
    </cacheField>
    <cacheField name="Days_To_Ship" numFmtId="0">
      <sharedItems containsSemiMixedTypes="0" containsString="0" containsNumber="1" containsInteger="1" minValue="1" maxValue="11"/>
    </cacheField>
    <cacheField name="Status" numFmtId="0">
      <sharedItems count="2">
        <s v="On Time"/>
        <s v="Late"/>
      </sharedItems>
    </cacheField>
    <cacheField name="Promo Valid" numFmtId="0">
      <sharedItems/>
    </cacheField>
  </cacheFields>
  <extLst>
    <ext xmlns:x14="http://schemas.microsoft.com/office/spreadsheetml/2009/9/main" uri="{725AE2AE-9491-48be-B2B4-4EB974FC3084}">
      <x14:pivotCacheDefinition pivotCacheId="1242268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ORD-24-1001"/>
    <x v="0"/>
    <s v="C-001"/>
    <s v="P-500"/>
    <n v="5"/>
    <d v="2024-01-05T00:00:00"/>
    <x v="0"/>
    <s v="WELCOME10"/>
    <x v="0"/>
    <x v="0"/>
    <n v="12.5"/>
    <n v="39.99"/>
    <s v="John Smith"/>
    <x v="0"/>
    <x v="0"/>
    <n v="137.45000000000002"/>
    <n v="2"/>
    <x v="0"/>
    <b v="1"/>
  </r>
  <r>
    <s v="ORD-24-1002"/>
    <x v="1"/>
    <s v="C-003"/>
    <s v="P-502"/>
    <n v="1"/>
    <d v="2024-01-08T00:00:00"/>
    <x v="1"/>
    <m/>
    <x v="1"/>
    <x v="1"/>
    <n v="85"/>
    <n v="249.99"/>
    <s v="Emily Blunt"/>
    <x v="1"/>
    <x v="1"/>
    <n v="164.99"/>
    <n v="4"/>
    <x v="0"/>
    <b v="0"/>
  </r>
  <r>
    <s v="ORD-24-1003"/>
    <x v="2"/>
    <s v="C-002"/>
    <s v="P-501"/>
    <n v="10"/>
    <d v="2024-01-14T00:00:00"/>
    <x v="2"/>
    <s v="BULK25"/>
    <x v="2"/>
    <x v="0"/>
    <n v="45"/>
    <n v="129.99"/>
    <s v="Sarah Connor"/>
    <x v="2"/>
    <x v="2"/>
    <n v="849.90000000000009"/>
    <n v="8"/>
    <x v="1"/>
    <b v="0"/>
  </r>
  <r>
    <s v="ORD-24-1004"/>
    <x v="3"/>
    <s v="C-005"/>
    <s v="P-505"/>
    <n v="2"/>
    <d v="2024-01-09T00:00:00"/>
    <x v="0"/>
    <m/>
    <x v="3"/>
    <x v="0"/>
    <n v="25"/>
    <n v="75"/>
    <s v="Dwight Schrute"/>
    <x v="2"/>
    <x v="3"/>
    <n v="100"/>
    <n v="1"/>
    <x v="0"/>
    <b v="0"/>
  </r>
  <r>
    <s v="ORD-24-1005"/>
    <x v="4"/>
    <s v="C-001"/>
    <s v="P-500"/>
    <n v="1"/>
    <d v="2024-01-12T00:00:00"/>
    <x v="0"/>
    <s v="FREESHIP"/>
    <x v="0"/>
    <x v="0"/>
    <n v="12.5"/>
    <n v="39.99"/>
    <s v="John Smith"/>
    <x v="0"/>
    <x v="4"/>
    <n v="27.490000000000002"/>
    <n v="2"/>
    <x v="0"/>
    <b v="1"/>
  </r>
  <r>
    <s v="ORD-24-1006"/>
    <x v="5"/>
    <s v="C-004"/>
    <s v="P-503"/>
    <n v="3"/>
    <d v="2024-01-19T00:00:00"/>
    <x v="3"/>
    <s v="WELCOME10"/>
    <x v="4"/>
    <x v="1"/>
    <n v="160"/>
    <n v="450"/>
    <s v="Michael Scott"/>
    <x v="0"/>
    <x v="5"/>
    <n v="870"/>
    <n v="7"/>
    <x v="1"/>
    <b v="1"/>
  </r>
  <r>
    <s v="ORD-24-1007"/>
    <x v="6"/>
    <s v="C-006"/>
    <s v="P-504"/>
    <n v="4"/>
    <d v="2024-01-22T00:00:00"/>
    <x v="1"/>
    <m/>
    <x v="5"/>
    <x v="2"/>
    <n v="15"/>
    <n v="45"/>
    <s v="Jim Halpert"/>
    <x v="1"/>
    <x v="6"/>
    <n v="120"/>
    <n v="7"/>
    <x v="1"/>
    <b v="0"/>
  </r>
  <r>
    <s v="ORD-24-1008"/>
    <x v="7"/>
    <s v="C-002"/>
    <s v="P-501"/>
    <n v="6"/>
    <d v="2024-01-18T00:00:00"/>
    <x v="2"/>
    <m/>
    <x v="2"/>
    <x v="0"/>
    <n v="45"/>
    <n v="129.99"/>
    <s v="Sarah Connor"/>
    <x v="2"/>
    <x v="7"/>
    <n v="509.94000000000005"/>
    <n v="2"/>
    <x v="0"/>
    <b v="0"/>
  </r>
  <r>
    <s v="ORD-24-1009"/>
    <x v="8"/>
    <s v="C-008"/>
    <s v="P-502"/>
    <n v="2"/>
    <d v="2024-01-29T00:00:00"/>
    <x v="3"/>
    <s v="LATE_SORRY"/>
    <x v="1"/>
    <x v="1"/>
    <n v="85"/>
    <n v="249.99"/>
    <s v="Ryan Howard"/>
    <x v="1"/>
    <x v="8"/>
    <n v="329.98"/>
    <n v="11"/>
    <x v="1"/>
    <b v="0"/>
  </r>
  <r>
    <s v="ORD-24-1010"/>
    <x v="9"/>
    <s v="C-003"/>
    <s v="P-505"/>
    <n v="1"/>
    <d v="2024-01-21T00:00:00"/>
    <x v="1"/>
    <m/>
    <x v="3"/>
    <x v="0"/>
    <n v="25"/>
    <n v="75"/>
    <s v="Emily Blunt"/>
    <x v="1"/>
    <x v="9"/>
    <n v="50"/>
    <n v="1"/>
    <x v="0"/>
    <b v="0"/>
  </r>
  <r>
    <s v="ORD-24-1011"/>
    <x v="10"/>
    <s v="C-009"/>
    <s v="P-500"/>
    <n v="20"/>
    <d v="2024-01-23T00:00:00"/>
    <x v="0"/>
    <s v="BULK_VIP"/>
    <x v="0"/>
    <x v="0"/>
    <n v="12.5"/>
    <n v="39.99"/>
    <s v="Creed Bratton"/>
    <x v="0"/>
    <x v="10"/>
    <n v="549.80000000000007"/>
    <n v="1"/>
    <x v="0"/>
    <b v="0"/>
  </r>
  <r>
    <s v="ORD-24-1012"/>
    <x v="11"/>
    <s v="C-007"/>
    <s v="P-502"/>
    <n v="3"/>
    <d v="2024-02-05T00:00:00"/>
    <x v="2"/>
    <m/>
    <x v="1"/>
    <x v="1"/>
    <n v="85"/>
    <n v="249.99"/>
    <s v="Pam Beesly"/>
    <x v="2"/>
    <x v="11"/>
    <n v="494.97"/>
    <n v="11"/>
    <x v="1"/>
    <b v="0"/>
  </r>
  <r>
    <s v="ORD-24-1013"/>
    <x v="12"/>
    <s v="C-010"/>
    <s v="P-503"/>
    <n v="2"/>
    <d v="2024-01-28T00:00:00"/>
    <x v="3"/>
    <s v="WELCOME10"/>
    <x v="4"/>
    <x v="1"/>
    <n v="160"/>
    <n v="450"/>
    <s v="Stanley Hudson"/>
    <x v="2"/>
    <x v="12"/>
    <n v="580"/>
    <n v="2"/>
    <x v="0"/>
    <b v="1"/>
  </r>
  <r>
    <s v="ORD-24-1014"/>
    <x v="13"/>
    <s v="C-005"/>
    <s v="P-504"/>
    <n v="1"/>
    <d v="2024-02-02T00:00:00"/>
    <x v="0"/>
    <m/>
    <x v="5"/>
    <x v="2"/>
    <n v="15"/>
    <n v="45"/>
    <s v="Dwight Schrute"/>
    <x v="2"/>
    <x v="13"/>
    <n v="30"/>
    <n v="5"/>
    <x v="0"/>
    <b v="0"/>
  </r>
  <r>
    <s v="ORD-24-1015"/>
    <x v="14"/>
    <s v="C-001"/>
    <s v="P-501"/>
    <n v="5"/>
    <d v="2024-02-01T00:00:00"/>
    <x v="0"/>
    <s v="FREESHIP"/>
    <x v="2"/>
    <x v="0"/>
    <n v="45"/>
    <n v="129.99"/>
    <s v="John Smith"/>
    <x v="0"/>
    <x v="14"/>
    <n v="424.95000000000005"/>
    <n v="2"/>
    <x v="0"/>
    <b v="1"/>
  </r>
  <r>
    <s v="ORD-24-1001"/>
    <x v="0"/>
    <s v="C-001"/>
    <s v="P-500"/>
    <n v="5"/>
    <d v="2024-01-05T00:00:00"/>
    <x v="0"/>
    <s v="WELCOME10"/>
    <x v="0"/>
    <x v="0"/>
    <n v="12.5"/>
    <n v="39.99"/>
    <s v="John Smith"/>
    <x v="0"/>
    <x v="0"/>
    <n v="137.45000000000002"/>
    <n v="2"/>
    <x v="0"/>
    <b v="1"/>
  </r>
  <r>
    <s v="ORD-24-1002"/>
    <x v="1"/>
    <s v="C-003"/>
    <s v="P-502"/>
    <n v="1"/>
    <d v="2024-01-08T00:00:00"/>
    <x v="1"/>
    <m/>
    <x v="1"/>
    <x v="1"/>
    <n v="85"/>
    <n v="249.99"/>
    <s v="Emily Blunt"/>
    <x v="1"/>
    <x v="1"/>
    <n v="164.99"/>
    <n v="4"/>
    <x v="0"/>
    <b v="0"/>
  </r>
  <r>
    <s v="ORD-24-1003"/>
    <x v="2"/>
    <s v="C-002"/>
    <s v="P-501"/>
    <n v="10"/>
    <d v="2024-01-14T00:00:00"/>
    <x v="2"/>
    <s v="BULK25"/>
    <x v="2"/>
    <x v="0"/>
    <n v="45"/>
    <n v="129.99"/>
    <s v="Sarah Connor"/>
    <x v="2"/>
    <x v="2"/>
    <n v="849.90000000000009"/>
    <n v="8"/>
    <x v="1"/>
    <b v="0"/>
  </r>
  <r>
    <s v="ORD-24-1004"/>
    <x v="3"/>
    <s v="C-005"/>
    <s v="P-505"/>
    <n v="2"/>
    <d v="2024-01-09T00:00:00"/>
    <x v="0"/>
    <m/>
    <x v="3"/>
    <x v="0"/>
    <n v="25"/>
    <n v="75"/>
    <s v="Dwight Schrute"/>
    <x v="2"/>
    <x v="3"/>
    <n v="100"/>
    <n v="1"/>
    <x v="0"/>
    <b v="0"/>
  </r>
  <r>
    <s v="ORD-24-1005"/>
    <x v="4"/>
    <s v="C-001"/>
    <s v="P-500"/>
    <n v="1"/>
    <d v="2024-01-12T00:00:00"/>
    <x v="0"/>
    <s v="FREESHIP"/>
    <x v="0"/>
    <x v="0"/>
    <n v="12.5"/>
    <n v="39.99"/>
    <s v="John Smith"/>
    <x v="0"/>
    <x v="4"/>
    <n v="27.490000000000002"/>
    <n v="2"/>
    <x v="0"/>
    <b v="1"/>
  </r>
  <r>
    <s v="ORD-24-1006"/>
    <x v="5"/>
    <s v="C-004"/>
    <s v="P-503"/>
    <n v="3"/>
    <d v="2024-01-19T00:00:00"/>
    <x v="3"/>
    <s v="WELCOME10"/>
    <x v="4"/>
    <x v="1"/>
    <n v="160"/>
    <n v="450"/>
    <s v="Michael Scott"/>
    <x v="0"/>
    <x v="5"/>
    <n v="870"/>
    <n v="7"/>
    <x v="1"/>
    <b v="1"/>
  </r>
  <r>
    <s v="ORD-24-1007"/>
    <x v="6"/>
    <s v="C-006"/>
    <s v="P-504"/>
    <n v="4"/>
    <d v="2024-01-22T00:00:00"/>
    <x v="1"/>
    <m/>
    <x v="5"/>
    <x v="2"/>
    <n v="15"/>
    <n v="45"/>
    <s v="Jim Halpert"/>
    <x v="1"/>
    <x v="6"/>
    <n v="120"/>
    <n v="7"/>
    <x v="1"/>
    <b v="0"/>
  </r>
  <r>
    <s v="ORD-24-1008"/>
    <x v="7"/>
    <s v="C-002"/>
    <s v="P-501"/>
    <n v="6"/>
    <d v="2024-01-18T00:00:00"/>
    <x v="2"/>
    <m/>
    <x v="2"/>
    <x v="0"/>
    <n v="45"/>
    <n v="129.99"/>
    <s v="Sarah Connor"/>
    <x v="2"/>
    <x v="7"/>
    <n v="509.94000000000005"/>
    <n v="2"/>
    <x v="0"/>
    <b v="0"/>
  </r>
  <r>
    <s v="ORD-24-1009"/>
    <x v="8"/>
    <s v="C-008"/>
    <s v="P-502"/>
    <n v="2"/>
    <d v="2024-01-29T00:00:00"/>
    <x v="3"/>
    <s v="LATE_SORRY"/>
    <x v="1"/>
    <x v="1"/>
    <n v="85"/>
    <n v="249.99"/>
    <s v="Ryan Howard"/>
    <x v="1"/>
    <x v="8"/>
    <n v="329.98"/>
    <n v="11"/>
    <x v="1"/>
    <b v="0"/>
  </r>
  <r>
    <s v="ORD-24-1010"/>
    <x v="9"/>
    <s v="C-003"/>
    <s v="P-505"/>
    <n v="1"/>
    <d v="2024-01-21T00:00:00"/>
    <x v="1"/>
    <m/>
    <x v="3"/>
    <x v="0"/>
    <n v="25"/>
    <n v="75"/>
    <s v="Emily Blunt"/>
    <x v="1"/>
    <x v="9"/>
    <n v="50"/>
    <n v="1"/>
    <x v="0"/>
    <b v="0"/>
  </r>
  <r>
    <s v="ORD-24-1011"/>
    <x v="10"/>
    <s v="C-009"/>
    <s v="P-500"/>
    <n v="20"/>
    <d v="2024-01-23T00:00:00"/>
    <x v="0"/>
    <s v="BULK_VIP"/>
    <x v="0"/>
    <x v="0"/>
    <n v="12.5"/>
    <n v="39.99"/>
    <s v="Creed Bratton"/>
    <x v="0"/>
    <x v="10"/>
    <n v="549.80000000000007"/>
    <n v="1"/>
    <x v="0"/>
    <b v="0"/>
  </r>
  <r>
    <s v="ORD-24-1012"/>
    <x v="11"/>
    <s v="C-007"/>
    <s v="P-502"/>
    <n v="3"/>
    <d v="2024-02-05T00:00:00"/>
    <x v="2"/>
    <m/>
    <x v="1"/>
    <x v="1"/>
    <n v="85"/>
    <n v="249.99"/>
    <s v="Pam Beesly"/>
    <x v="2"/>
    <x v="11"/>
    <n v="494.97"/>
    <n v="11"/>
    <x v="1"/>
    <b v="0"/>
  </r>
  <r>
    <s v="ORD-24-1013"/>
    <x v="12"/>
    <s v="C-010"/>
    <s v="P-503"/>
    <n v="2"/>
    <d v="2024-01-28T00:00:00"/>
    <x v="3"/>
    <s v="WELCOME10"/>
    <x v="4"/>
    <x v="1"/>
    <n v="160"/>
    <n v="450"/>
    <s v="Stanley Hudson"/>
    <x v="2"/>
    <x v="12"/>
    <n v="580"/>
    <n v="2"/>
    <x v="0"/>
    <b v="1"/>
  </r>
  <r>
    <s v="ORD-24-1014"/>
    <x v="13"/>
    <s v="C-005"/>
    <s v="P-504"/>
    <n v="1"/>
    <d v="2024-02-02T00:00:00"/>
    <x v="0"/>
    <m/>
    <x v="5"/>
    <x v="2"/>
    <n v="15"/>
    <n v="45"/>
    <s v="Dwight Schrute"/>
    <x v="2"/>
    <x v="13"/>
    <n v="30"/>
    <n v="5"/>
    <x v="0"/>
    <b v="0"/>
  </r>
  <r>
    <s v="ORD-24-1015"/>
    <x v="14"/>
    <s v="C-001"/>
    <s v="P-501"/>
    <n v="5"/>
    <d v="2024-02-01T00:00:00"/>
    <x v="0"/>
    <s v="FREESHIP"/>
    <x v="2"/>
    <x v="0"/>
    <n v="45"/>
    <n v="129.99"/>
    <s v="John Smith"/>
    <x v="0"/>
    <x v="14"/>
    <n v="424.95000000000005"/>
    <n v="2"/>
    <x v="0"/>
    <b v="1"/>
  </r>
  <r>
    <s v="ORD-24-1001"/>
    <x v="0"/>
    <s v="C-001"/>
    <s v="P-500"/>
    <n v="5"/>
    <d v="2024-01-05T00:00:00"/>
    <x v="0"/>
    <s v="WELCOME10"/>
    <x v="0"/>
    <x v="0"/>
    <n v="12.5"/>
    <n v="39.99"/>
    <s v="John Smith"/>
    <x v="0"/>
    <x v="0"/>
    <n v="137.45000000000002"/>
    <n v="2"/>
    <x v="0"/>
    <b v="1"/>
  </r>
  <r>
    <s v="ORD-24-1002"/>
    <x v="1"/>
    <s v="C-003"/>
    <s v="P-502"/>
    <n v="1"/>
    <d v="2024-01-08T00:00:00"/>
    <x v="1"/>
    <m/>
    <x v="1"/>
    <x v="1"/>
    <n v="85"/>
    <n v="249.99"/>
    <s v="Emily Blunt"/>
    <x v="1"/>
    <x v="1"/>
    <n v="164.99"/>
    <n v="4"/>
    <x v="0"/>
    <b v="0"/>
  </r>
  <r>
    <s v="ORD-24-1003"/>
    <x v="2"/>
    <s v="C-002"/>
    <s v="P-501"/>
    <n v="10"/>
    <d v="2024-01-14T00:00:00"/>
    <x v="2"/>
    <s v="BULK25"/>
    <x v="2"/>
    <x v="0"/>
    <n v="45"/>
    <n v="129.99"/>
    <s v="Sarah Connor"/>
    <x v="2"/>
    <x v="2"/>
    <n v="849.90000000000009"/>
    <n v="8"/>
    <x v="1"/>
    <b v="0"/>
  </r>
  <r>
    <s v="ORD-24-1004"/>
    <x v="3"/>
    <s v="C-005"/>
    <s v="P-505"/>
    <n v="2"/>
    <d v="2024-01-09T00:00:00"/>
    <x v="0"/>
    <m/>
    <x v="3"/>
    <x v="0"/>
    <n v="25"/>
    <n v="75"/>
    <s v="Dwight Schrute"/>
    <x v="2"/>
    <x v="3"/>
    <n v="100"/>
    <n v="1"/>
    <x v="0"/>
    <b v="0"/>
  </r>
  <r>
    <s v="ORD-24-1005"/>
    <x v="4"/>
    <s v="C-001"/>
    <s v="P-500"/>
    <n v="1"/>
    <d v="2024-01-12T00:00:00"/>
    <x v="0"/>
    <s v="FREESHIP"/>
    <x v="0"/>
    <x v="0"/>
    <n v="12.5"/>
    <n v="39.99"/>
    <s v="John Smith"/>
    <x v="0"/>
    <x v="4"/>
    <n v="27.490000000000002"/>
    <n v="2"/>
    <x v="0"/>
    <b v="1"/>
  </r>
  <r>
    <s v="ORD-24-1006"/>
    <x v="5"/>
    <s v="C-004"/>
    <s v="P-503"/>
    <n v="3"/>
    <d v="2024-01-19T00:00:00"/>
    <x v="3"/>
    <s v="WELCOME10"/>
    <x v="4"/>
    <x v="1"/>
    <n v="160"/>
    <n v="450"/>
    <s v="Michael Scott"/>
    <x v="0"/>
    <x v="5"/>
    <n v="870"/>
    <n v="7"/>
    <x v="1"/>
    <b v="1"/>
  </r>
  <r>
    <s v="ORD-24-1007"/>
    <x v="6"/>
    <s v="C-006"/>
    <s v="P-504"/>
    <n v="4"/>
    <d v="2024-01-22T00:00:00"/>
    <x v="1"/>
    <m/>
    <x v="5"/>
    <x v="2"/>
    <n v="15"/>
    <n v="45"/>
    <s v="Jim Halpert"/>
    <x v="1"/>
    <x v="6"/>
    <n v="120"/>
    <n v="7"/>
    <x v="1"/>
    <b v="0"/>
  </r>
  <r>
    <s v="ORD-24-1008"/>
    <x v="7"/>
    <s v="C-002"/>
    <s v="P-501"/>
    <n v="6"/>
    <d v="2024-01-18T00:00:00"/>
    <x v="2"/>
    <m/>
    <x v="2"/>
    <x v="0"/>
    <n v="45"/>
    <n v="129.99"/>
    <s v="Sarah Connor"/>
    <x v="2"/>
    <x v="7"/>
    <n v="509.94000000000005"/>
    <n v="2"/>
    <x v="0"/>
    <b v="0"/>
  </r>
  <r>
    <s v="ORD-24-1009"/>
    <x v="8"/>
    <s v="C-008"/>
    <s v="P-502"/>
    <n v="2"/>
    <d v="2024-01-29T00:00:00"/>
    <x v="3"/>
    <s v="LATE_SORRY"/>
    <x v="1"/>
    <x v="1"/>
    <n v="85"/>
    <n v="249.99"/>
    <s v="Ryan Howard"/>
    <x v="1"/>
    <x v="8"/>
    <n v="329.98"/>
    <n v="11"/>
    <x v="1"/>
    <b v="0"/>
  </r>
  <r>
    <s v="ORD-24-1010"/>
    <x v="9"/>
    <s v="C-003"/>
    <s v="P-505"/>
    <n v="1"/>
    <d v="2024-01-21T00:00:00"/>
    <x v="1"/>
    <m/>
    <x v="3"/>
    <x v="0"/>
    <n v="25"/>
    <n v="75"/>
    <s v="Emily Blunt"/>
    <x v="1"/>
    <x v="9"/>
    <n v="50"/>
    <n v="1"/>
    <x v="0"/>
    <b v="0"/>
  </r>
  <r>
    <s v="ORD-24-1011"/>
    <x v="10"/>
    <s v="C-009"/>
    <s v="P-500"/>
    <n v="20"/>
    <d v="2024-01-23T00:00:00"/>
    <x v="0"/>
    <s v="BULK_VIP"/>
    <x v="0"/>
    <x v="0"/>
    <n v="12.5"/>
    <n v="39.99"/>
    <s v="Creed Bratton"/>
    <x v="0"/>
    <x v="10"/>
    <n v="549.80000000000007"/>
    <n v="1"/>
    <x v="0"/>
    <b v="0"/>
  </r>
  <r>
    <s v="ORD-24-1012"/>
    <x v="11"/>
    <s v="C-007"/>
    <s v="P-502"/>
    <n v="3"/>
    <d v="2024-02-05T00:00:00"/>
    <x v="2"/>
    <m/>
    <x v="1"/>
    <x v="1"/>
    <n v="85"/>
    <n v="249.99"/>
    <s v="Pam Beesly"/>
    <x v="2"/>
    <x v="11"/>
    <n v="494.97"/>
    <n v="11"/>
    <x v="1"/>
    <b v="0"/>
  </r>
  <r>
    <s v="ORD-24-1013"/>
    <x v="12"/>
    <s v="C-010"/>
    <s v="P-503"/>
    <n v="2"/>
    <d v="2024-01-28T00:00:00"/>
    <x v="3"/>
    <s v="WELCOME10"/>
    <x v="4"/>
    <x v="1"/>
    <n v="160"/>
    <n v="450"/>
    <s v="Stanley Hudson"/>
    <x v="2"/>
    <x v="12"/>
    <n v="580"/>
    <n v="2"/>
    <x v="0"/>
    <b v="1"/>
  </r>
  <r>
    <s v="ORD-24-1014"/>
    <x v="13"/>
    <s v="C-005"/>
    <s v="P-504"/>
    <n v="1"/>
    <d v="2024-02-02T00:00:00"/>
    <x v="0"/>
    <m/>
    <x v="5"/>
    <x v="2"/>
    <n v="15"/>
    <n v="45"/>
    <s v="Dwight Schrute"/>
    <x v="2"/>
    <x v="13"/>
    <n v="30"/>
    <n v="5"/>
    <x v="0"/>
    <b v="0"/>
  </r>
  <r>
    <s v="ORD-24-1015"/>
    <x v="14"/>
    <s v="C-001"/>
    <s v="P-501"/>
    <n v="5"/>
    <d v="2024-02-01T00:00:00"/>
    <x v="0"/>
    <s v="FREESHIP"/>
    <x v="2"/>
    <x v="0"/>
    <n v="45"/>
    <n v="129.99"/>
    <s v="John Smith"/>
    <x v="0"/>
    <x v="14"/>
    <n v="424.95000000000005"/>
    <n v="2"/>
    <x v="0"/>
    <b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BCFCA4-A909-4489-8DFF-AC9BC1B9071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19">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165" showAll="0">
      <items count="16">
        <item x="4"/>
        <item x="13"/>
        <item x="9"/>
        <item x="3"/>
        <item x="6"/>
        <item x="0"/>
        <item x="1"/>
        <item x="8"/>
        <item x="14"/>
        <item x="10"/>
        <item x="11"/>
        <item x="7"/>
        <item x="12"/>
        <item x="2"/>
        <item x="5"/>
        <item t="default"/>
      </items>
    </pivotField>
    <pivotField dataField="1" showAll="0"/>
    <pivotField showAll="0"/>
    <pivotField showAll="0"/>
    <pivotField showAll="0"/>
  </pivotFields>
  <rowItems count="1">
    <i/>
  </rowItems>
  <colItems count="1">
    <i/>
  </colItems>
  <dataFields count="1">
    <dataField name="Sum of Total Profit" fld="15" baseField="0" baseItem="0" numFmtId="172"/>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8783BD-3300-4C10-8854-D61966BE448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9">
    <pivotField showAll="0"/>
    <pivotField numFmtId="14" showAll="0"/>
    <pivotField showAll="0"/>
    <pivotField showAll="0"/>
    <pivotField showAll="0"/>
    <pivotField numFmtId="14" showAll="0"/>
    <pivotField showAll="0"/>
    <pivotField showAll="0"/>
    <pivotField showAll="0"/>
    <pivotField showAll="0"/>
    <pivotField showAll="0"/>
    <pivotField showAll="0"/>
    <pivotField showAll="0"/>
    <pivotField showAll="0"/>
    <pivotField dataField="1" numFmtId="165" showAll="0">
      <items count="16">
        <item x="4"/>
        <item x="13"/>
        <item x="9"/>
        <item x="3"/>
        <item x="6"/>
        <item x="0"/>
        <item x="1"/>
        <item x="8"/>
        <item x="14"/>
        <item x="10"/>
        <item x="11"/>
        <item x="7"/>
        <item x="12"/>
        <item x="2"/>
        <item x="5"/>
        <item t="default"/>
      </items>
    </pivotField>
    <pivotField showAll="0"/>
    <pivotField showAll="0"/>
    <pivotField showAll="0"/>
    <pivotField showAll="0"/>
  </pivotFields>
  <rowItems count="1">
    <i/>
  </rowItems>
  <colItems count="1">
    <i/>
  </colItems>
  <dataFields count="1">
    <dataField name="Sum of Total Revenew" fld="14" baseField="0" baseItem="0" numFmtId="172"/>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8A5078-416C-461C-BB23-4B18E77DD6B4}"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0" firstHeaderRow="1" firstDataRow="1" firstDataCol="1"/>
  <pivotFields count="19">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showAll="0"/>
    <pivotField showAll="0"/>
    <pivotField axis="axisRow" showAll="0">
      <items count="7">
        <item x="3"/>
        <item x="1"/>
        <item x="2"/>
        <item x="4"/>
        <item x="5"/>
        <item x="0"/>
        <item t="default"/>
      </items>
    </pivotField>
    <pivotField showAll="0">
      <items count="4">
        <item x="0"/>
        <item x="1"/>
        <item x="2"/>
        <item t="default"/>
      </items>
    </pivotField>
    <pivotField showAll="0"/>
    <pivotField showAll="0"/>
    <pivotField showAll="0"/>
    <pivotField showAll="0"/>
    <pivotField numFmtId="165" showAll="0"/>
    <pivotField dataField="1" showAll="0"/>
    <pivotField showAll="0"/>
    <pivotField showAll="0"/>
    <pivotField showAll="0"/>
  </pivotFields>
  <rowFields count="1">
    <field x="8"/>
  </rowFields>
  <rowItems count="7">
    <i>
      <x/>
    </i>
    <i>
      <x v="1"/>
    </i>
    <i>
      <x v="2"/>
    </i>
    <i>
      <x v="3"/>
    </i>
    <i>
      <x v="4"/>
    </i>
    <i>
      <x v="5"/>
    </i>
    <i t="grand">
      <x/>
    </i>
  </rowItems>
  <colItems count="1">
    <i/>
  </colItems>
  <dataFields count="1">
    <dataField name="Sum of Total Profit" fld="15" baseField="0" baseItem="0"/>
  </dataFields>
  <formats count="8">
    <format dxfId="33">
      <pivotArea type="all" dataOnly="0" outline="0" fieldPosition="0"/>
    </format>
    <format dxfId="32">
      <pivotArea outline="0" collapsedLevelsAreSubtotals="1" fieldPosition="0"/>
    </format>
    <format dxfId="31">
      <pivotArea field="8" type="button" dataOnly="0" labelOnly="1" outline="0" axis="axisRow" fieldPosition="0"/>
    </format>
    <format dxfId="30">
      <pivotArea dataOnly="0" labelOnly="1" fieldPosition="0">
        <references count="1">
          <reference field="8" count="0"/>
        </references>
      </pivotArea>
    </format>
    <format dxfId="29">
      <pivotArea dataOnly="0" labelOnly="1" grandRow="1" outline="0" fieldPosition="0"/>
    </format>
    <format dxfId="28">
      <pivotArea dataOnly="0" labelOnly="1" outline="0" axis="axisValues" fieldPosition="0"/>
    </format>
    <format dxfId="27">
      <pivotArea outline="0" collapsedLevelsAreSubtotals="1" fieldPosition="0"/>
    </format>
    <format dxfId="26">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61B63D-77A4-4FC8-9F18-A19F73754E6E}"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21:D27" firstHeaderRow="1" firstDataRow="2" firstDataCol="1"/>
  <pivotFields count="19">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axis="axisRow" showAll="0">
      <items count="5">
        <item x="2"/>
        <item x="0"/>
        <item x="3"/>
        <item x="1"/>
        <item t="default"/>
      </items>
    </pivotField>
    <pivotField showAll="0"/>
    <pivotField showAll="0"/>
    <pivotField showAll="0">
      <items count="4">
        <item x="0"/>
        <item x="1"/>
        <item x="2"/>
        <item t="default"/>
      </items>
    </pivotField>
    <pivotField showAll="0"/>
    <pivotField showAll="0"/>
    <pivotField showAll="0"/>
    <pivotField showAll="0"/>
    <pivotField numFmtId="165" showAll="0"/>
    <pivotField showAll="0"/>
    <pivotField showAll="0"/>
    <pivotField axis="axisCol" dataField="1" showAll="0">
      <items count="3">
        <item x="1"/>
        <item x="0"/>
        <item t="default"/>
      </items>
    </pivotField>
    <pivotField showAll="0"/>
  </pivotFields>
  <rowFields count="1">
    <field x="6"/>
  </rowFields>
  <rowItems count="5">
    <i>
      <x/>
    </i>
    <i>
      <x v="1"/>
    </i>
    <i>
      <x v="2"/>
    </i>
    <i>
      <x v="3"/>
    </i>
    <i t="grand">
      <x/>
    </i>
  </rowItems>
  <colFields count="1">
    <field x="17"/>
  </colFields>
  <colItems count="3">
    <i>
      <x/>
    </i>
    <i>
      <x v="1"/>
    </i>
    <i t="grand">
      <x/>
    </i>
  </colItems>
  <dataFields count="1">
    <dataField name="Count of Status" fld="17" subtotal="count" baseField="0" baseItem="0"/>
  </dataFields>
  <formats count="5">
    <format dxfId="38">
      <pivotArea type="all" dataOnly="0" outline="0" fieldPosition="0"/>
    </format>
    <format dxfId="37">
      <pivotArea outline="0" collapsedLevelsAreSubtotals="1" fieldPosition="0"/>
    </format>
    <format dxfId="36">
      <pivotArea field="6" type="button" dataOnly="0" labelOnly="1" outline="0" axis="axisRow" fieldPosition="0"/>
    </format>
    <format dxfId="35">
      <pivotArea dataOnly="0" labelOnly="1" grandRow="1" outline="0" fieldPosition="0"/>
    </format>
    <format dxfId="3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7" count="1" selected="0">
            <x v="1"/>
          </reference>
        </references>
      </pivotArea>
    </chartFormat>
    <chartFormat chart="0" format="5" series="1">
      <pivotArea type="data" outline="0" fieldPosition="0">
        <references count="2">
          <reference field="4294967294" count="1" selected="0">
            <x v="0"/>
          </reference>
          <reference field="17" count="1" selected="0">
            <x v="0"/>
          </reference>
        </references>
      </pivotArea>
    </chartFormat>
    <chartFormat chart="0" format="6">
      <pivotArea type="data" outline="0" fieldPosition="0">
        <references count="3">
          <reference field="4294967294" count="1" selected="0">
            <x v="0"/>
          </reference>
          <reference field="6" count="1" selected="0">
            <x v="0"/>
          </reference>
          <reference field="17" count="1" selected="0">
            <x v="0"/>
          </reference>
        </references>
      </pivotArea>
    </chartFormat>
    <chartFormat chart="0" format="7">
      <pivotArea type="data" outline="0" fieldPosition="0">
        <references count="3">
          <reference field="4294967294" count="1" selected="0">
            <x v="0"/>
          </reference>
          <reference field="6" count="1" selected="0">
            <x v="1"/>
          </reference>
          <reference field="17" count="1" selected="0">
            <x v="0"/>
          </reference>
        </references>
      </pivotArea>
    </chartFormat>
    <chartFormat chart="0" format="8">
      <pivotArea type="data" outline="0" fieldPosition="0">
        <references count="3">
          <reference field="4294967294" count="1" selected="0">
            <x v="0"/>
          </reference>
          <reference field="6" count="1" selected="0">
            <x v="2"/>
          </reference>
          <reference field="17" count="1" selected="0">
            <x v="0"/>
          </reference>
        </references>
      </pivotArea>
    </chartFormat>
    <chartFormat chart="0" format="9">
      <pivotArea type="data" outline="0" fieldPosition="0">
        <references count="3">
          <reference field="4294967294" count="1" selected="0">
            <x v="0"/>
          </reference>
          <reference field="6" count="1" selected="0">
            <x v="3"/>
          </reference>
          <reference field="17" count="1" selected="0">
            <x v="0"/>
          </reference>
        </references>
      </pivotArea>
    </chartFormat>
    <chartFormat chart="0" format="10">
      <pivotArea type="data" outline="0" fieldPosition="0">
        <references count="3">
          <reference field="4294967294" count="1" selected="0">
            <x v="0"/>
          </reference>
          <reference field="6" count="1" selected="0">
            <x v="0"/>
          </reference>
          <reference field="17" count="1" selected="0">
            <x v="1"/>
          </reference>
        </references>
      </pivotArea>
    </chartFormat>
    <chartFormat chart="0" format="11">
      <pivotArea type="data" outline="0" fieldPosition="0">
        <references count="3">
          <reference field="4294967294" count="1" selected="0">
            <x v="0"/>
          </reference>
          <reference field="6" count="1" selected="0">
            <x v="1"/>
          </reference>
          <reference field="17" count="1" selected="0">
            <x v="1"/>
          </reference>
        </references>
      </pivotArea>
    </chartFormat>
    <chartFormat chart="0" format="12">
      <pivotArea type="data" outline="0" fieldPosition="0">
        <references count="3">
          <reference field="4294967294" count="1" selected="0">
            <x v="0"/>
          </reference>
          <reference field="6" count="1" selected="0">
            <x v="2"/>
          </reference>
          <reference field="17" count="1" selected="0">
            <x v="1"/>
          </reference>
        </references>
      </pivotArea>
    </chartFormat>
    <chartFormat chart="0" format="13">
      <pivotArea type="data" outline="0" fieldPosition="0">
        <references count="3">
          <reference field="4294967294" count="1" selected="0">
            <x v="0"/>
          </reference>
          <reference field="6" count="1" selected="0">
            <x v="3"/>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CA6CF4-3B5C-4EF6-828E-F956DBA3FA6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3:B17" firstHeaderRow="1" firstDataRow="1" firstDataCol="1"/>
  <pivotFields count="19">
    <pivotField showAll="0"/>
    <pivotField numFmtId="14" showAll="0">
      <items count="16">
        <item x="0"/>
        <item x="1"/>
        <item x="2"/>
        <item x="3"/>
        <item x="4"/>
        <item x="5"/>
        <item x="6"/>
        <item x="7"/>
        <item x="8"/>
        <item x="9"/>
        <item x="10"/>
        <item x="11"/>
        <item x="12"/>
        <item x="13"/>
        <item x="14"/>
        <item t="default"/>
      </items>
    </pivotField>
    <pivotField showAll="0"/>
    <pivotField showAll="0"/>
    <pivotField showAll="0"/>
    <pivotField numFmtId="14" showAll="0"/>
    <pivotField showAll="0"/>
    <pivotField showAll="0"/>
    <pivotField showAll="0"/>
    <pivotField showAll="0">
      <items count="4">
        <item x="0"/>
        <item x="1"/>
        <item x="2"/>
        <item t="default"/>
      </items>
    </pivotField>
    <pivotField showAll="0"/>
    <pivotField showAll="0"/>
    <pivotField showAll="0"/>
    <pivotField axis="axisRow" showAll="0">
      <items count="4">
        <item x="1"/>
        <item x="0"/>
        <item x="2"/>
        <item t="default"/>
      </items>
    </pivotField>
    <pivotField dataField="1" numFmtId="165" showAll="0"/>
    <pivotField showAll="0"/>
    <pivotField showAll="0"/>
    <pivotField showAll="0"/>
    <pivotField showAll="0"/>
  </pivotFields>
  <rowFields count="1">
    <field x="13"/>
  </rowFields>
  <rowItems count="4">
    <i>
      <x/>
    </i>
    <i>
      <x v="1"/>
    </i>
    <i>
      <x v="2"/>
    </i>
    <i t="grand">
      <x/>
    </i>
  </rowItems>
  <colItems count="1">
    <i/>
  </colItems>
  <dataFields count="1">
    <dataField name="Sum of Total Revenew" fld="14" baseField="0" baseItem="0" numFmtId="166"/>
  </dataFields>
  <formats count="7">
    <format dxfId="45">
      <pivotArea type="all" dataOnly="0" outline="0" fieldPosition="0"/>
    </format>
    <format dxfId="44">
      <pivotArea outline="0" collapsedLevelsAreSubtotals="1" fieldPosition="0"/>
    </format>
    <format dxfId="43">
      <pivotArea field="13" type="button" dataOnly="0" labelOnly="1" outline="0" axis="axisRow" fieldPosition="0"/>
    </format>
    <format dxfId="42">
      <pivotArea dataOnly="0" labelOnly="1" fieldPosition="0">
        <references count="1">
          <reference field="13" count="0"/>
        </references>
      </pivotArea>
    </format>
    <format dxfId="41">
      <pivotArea dataOnly="0" labelOnly="1" grandRow="1" outline="0" fieldPosition="0"/>
    </format>
    <format dxfId="40">
      <pivotArea dataOnly="0" labelOnly="1" outline="0" axis="axisValues" fieldPosition="0"/>
    </format>
    <format dxfId="3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3071937-7185-4518-B2BA-C524F7C224CE}" sourceName="Category">
  <pivotTables>
    <pivotTable tabId="5" name="PivotTable3"/>
    <pivotTable tabId="5" name="PivotTable2"/>
    <pivotTable tabId="5" name="PivotTable1"/>
  </pivotTables>
  <data>
    <tabular pivotCacheId="124226801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E3A08E3-4D91-4E38-9D9F-2D64D2136E93}" cache="Slicer_Category" caption="Category" rowHeight="247650"/>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AC72A74-0B7B-44E8-B151-36454EA05AD9}" sourceName="Date">
  <pivotTables>
    <pivotTable tabId="5" name="PivotTable3"/>
    <pivotTable tabId="5" name="PivotTable2"/>
    <pivotTable tabId="5" name="PivotTable1"/>
  </pivotTables>
  <state minimalRefreshVersion="6" lastRefreshVersion="6" pivotCacheId="1242268018"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A29C255-BF99-400F-852E-67F617812327}" cache="NativeTimeline_Date" caption="Date" level="2" selectionLevel="2"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486A-375D-446D-84B4-B39A07F1A676}">
  <dimension ref="A1:S46"/>
  <sheetViews>
    <sheetView workbookViewId="0">
      <selection activeCell="I9" sqref="I9"/>
    </sheetView>
  </sheetViews>
  <sheetFormatPr defaultRowHeight="14.4" x14ac:dyDescent="0.3"/>
  <cols>
    <col min="1" max="1" width="12" customWidth="1"/>
    <col min="2" max="2" width="11.33203125" customWidth="1"/>
    <col min="3" max="3" width="7.109375" customWidth="1"/>
    <col min="4" max="4" width="9.44140625" customWidth="1"/>
    <col min="5" max="5" width="6.77734375" customWidth="1"/>
    <col min="6" max="6" width="13.44140625" customWidth="1"/>
    <col min="7" max="7" width="11.6640625" bestFit="1" customWidth="1"/>
    <col min="8" max="8" width="11.5546875" customWidth="1"/>
    <col min="9" max="9" width="19.33203125" customWidth="1"/>
    <col min="10" max="10" width="11.33203125" customWidth="1"/>
    <col min="12" max="12" width="8.88671875" style="15"/>
    <col min="13" max="13" width="13.109375" customWidth="1"/>
    <col min="14" max="14" width="19.5546875" customWidth="1"/>
    <col min="15" max="15" width="16.44140625" style="15" customWidth="1"/>
    <col min="16" max="16" width="14.5546875" style="15" customWidth="1"/>
    <col min="17" max="17" width="15.21875" customWidth="1"/>
    <col min="19" max="19" width="12.33203125" customWidth="1"/>
  </cols>
  <sheetData>
    <row r="1" spans="1:19" ht="20.399999999999999" customHeight="1" x14ac:dyDescent="0.3">
      <c r="A1" s="4" t="s">
        <v>0</v>
      </c>
      <c r="B1" s="4" t="s">
        <v>1</v>
      </c>
      <c r="C1" s="4" t="s">
        <v>2</v>
      </c>
      <c r="D1" s="4" t="s">
        <v>3</v>
      </c>
      <c r="E1" s="4" t="s">
        <v>4</v>
      </c>
      <c r="F1" s="4" t="s">
        <v>5</v>
      </c>
      <c r="G1" s="4" t="s">
        <v>6</v>
      </c>
      <c r="H1" s="4" t="s">
        <v>7</v>
      </c>
      <c r="I1" s="4" t="s">
        <v>99</v>
      </c>
      <c r="J1" s="4" t="s">
        <v>49</v>
      </c>
      <c r="K1" s="4" t="s">
        <v>100</v>
      </c>
      <c r="L1" s="16" t="s">
        <v>101</v>
      </c>
      <c r="M1" s="5" t="s">
        <v>102</v>
      </c>
      <c r="N1" s="6" t="s">
        <v>73</v>
      </c>
      <c r="O1" s="13" t="s">
        <v>103</v>
      </c>
      <c r="P1" s="13" t="s">
        <v>104</v>
      </c>
      <c r="Q1" s="5" t="s">
        <v>105</v>
      </c>
      <c r="R1" s="4" t="s">
        <v>106</v>
      </c>
      <c r="S1" s="4" t="s">
        <v>107</v>
      </c>
    </row>
    <row r="2" spans="1:19" x14ac:dyDescent="0.3">
      <c r="A2" s="2" t="s">
        <v>8</v>
      </c>
      <c r="B2" s="3">
        <v>45294</v>
      </c>
      <c r="C2" s="2" t="s">
        <v>9</v>
      </c>
      <c r="D2" s="2" t="s">
        <v>10</v>
      </c>
      <c r="E2" s="2">
        <v>5</v>
      </c>
      <c r="F2" s="3">
        <v>45296</v>
      </c>
      <c r="G2" s="2" t="s">
        <v>11</v>
      </c>
      <c r="H2" s="2" t="s">
        <v>12</v>
      </c>
      <c r="I2" s="1" t="str">
        <f>VLOOKUP(D2,Product_Master!$A$1:$F$8,2,FALSE)</f>
        <v>Wireless Mouse X1</v>
      </c>
      <c r="J2" s="1" t="str">
        <f>VLOOKUP(D2,Product_Master!$A$1:$F$8,3,FALSE)</f>
        <v>Electronics</v>
      </c>
      <c r="K2" s="1">
        <f>VLOOKUP(D2:D46,Product_Master!$A$1:$F$8,4,FALSE)</f>
        <v>12.5</v>
      </c>
      <c r="L2" s="14">
        <f>VLOOKUP(D2:D46,Product_Master!$A$1:$F$8,5,FALSE)</f>
        <v>39.99</v>
      </c>
      <c r="M2" s="1" t="str">
        <f>IFERROR(VLOOKUP(C2:C46,Customer_database!$A$1:$F$11,5,FALSE),"Unknown Item")</f>
        <v>John Smith</v>
      </c>
      <c r="N2" s="1" t="str">
        <f>IFERROR(VLOOKUP(C2:C46,Customer_database!$A$1:$F$11,4,FALSE),"Unknown Item")</f>
        <v>Gold</v>
      </c>
      <c r="O2" s="14">
        <f>(E2*K2)</f>
        <v>62.5</v>
      </c>
      <c r="P2" s="14">
        <f>((L2-K2)*E2)</f>
        <v>137.45000000000002</v>
      </c>
      <c r="Q2" s="1">
        <f>(F2-B2)</f>
        <v>2</v>
      </c>
      <c r="R2" s="1" t="str">
        <f>IF(AND(Q2&gt;5,G2="North"),"CRITICAL DELAY",IF(Q2&gt;5,"Late","On Time"))</f>
        <v>On Time</v>
      </c>
      <c r="S2" s="1" t="b">
        <f>OR(H2="WELCOME10",H2="FREESHIP")</f>
        <v>1</v>
      </c>
    </row>
    <row r="3" spans="1:19" x14ac:dyDescent="0.3">
      <c r="A3" s="2" t="s">
        <v>13</v>
      </c>
      <c r="B3" s="3">
        <v>45295</v>
      </c>
      <c r="C3" s="2" t="s">
        <v>14</v>
      </c>
      <c r="D3" s="2" t="s">
        <v>15</v>
      </c>
      <c r="E3" s="2">
        <v>1</v>
      </c>
      <c r="F3" s="3">
        <v>45299</v>
      </c>
      <c r="G3" s="2" t="s">
        <v>16</v>
      </c>
      <c r="H3" s="2"/>
      <c r="I3" s="1" t="str">
        <f>VLOOKUP(D3,Product_Master!$A$1:$F$8,2,FALSE)</f>
        <v>Ergo Office Chair</v>
      </c>
      <c r="J3" s="1" t="str">
        <f>VLOOKUP(D3,Product_Master!$A$1:$F$8,3,FALSE)</f>
        <v>Furniture</v>
      </c>
      <c r="K3" s="1">
        <f>VLOOKUP(D3:D47,Product_Master!$A$1:$F$8,4,FALSE)</f>
        <v>85</v>
      </c>
      <c r="L3" s="14">
        <f>VLOOKUP(D3:D47,Product_Master!$A$1:$F$8,5,FALSE)</f>
        <v>249.99</v>
      </c>
      <c r="M3" s="1" t="str">
        <f>IFERROR(VLOOKUP(C3:C47,Customer_database!$A$1:$F$11,5,FALSE),"Unknown Item")</f>
        <v>Emily Blunt</v>
      </c>
      <c r="N3" s="1" t="str">
        <f>IFERROR(VLOOKUP(C3:C47,Customer_database!$A$1:$F$11,4,FALSE),"Unknown Item")</f>
        <v>Bronze</v>
      </c>
      <c r="O3" s="14">
        <f t="shared" ref="O3:O46" si="0">(E3*K3)</f>
        <v>85</v>
      </c>
      <c r="P3" s="14">
        <f t="shared" ref="P3:P46" si="1">((L3-K3)*E3)</f>
        <v>164.99</v>
      </c>
      <c r="Q3" s="1">
        <f t="shared" ref="Q3:Q46" si="2">(F3-B3)</f>
        <v>4</v>
      </c>
      <c r="R3" s="1" t="str">
        <f t="shared" ref="R3:R46" si="3">IF(AND(Q3&gt;5,G3="North"),"CRITICAL DELAY",IF(Q3&gt;5,"Late","On Time"))</f>
        <v>On Time</v>
      </c>
      <c r="S3" s="1" t="b">
        <f t="shared" ref="S3:S46" si="4">OR(H3="WELCOME10",H3="FREESHIP")</f>
        <v>0</v>
      </c>
    </row>
    <row r="4" spans="1:19" x14ac:dyDescent="0.3">
      <c r="A4" s="2" t="s">
        <v>17</v>
      </c>
      <c r="B4" s="3">
        <v>45297</v>
      </c>
      <c r="C4" s="2" t="s">
        <v>18</v>
      </c>
      <c r="D4" s="2" t="s">
        <v>19</v>
      </c>
      <c r="E4" s="2">
        <v>10</v>
      </c>
      <c r="F4" s="3">
        <v>45305</v>
      </c>
      <c r="G4" s="2" t="s">
        <v>20</v>
      </c>
      <c r="H4" s="2" t="s">
        <v>21</v>
      </c>
      <c r="I4" s="1" t="str">
        <f>VLOOKUP(D4,Product_Master!$A$1:$F$8,2,FALSE)</f>
        <v>Mech Keyboard RGB</v>
      </c>
      <c r="J4" s="1" t="str">
        <f>VLOOKUP(D4,Product_Master!$A$1:$F$8,3,FALSE)</f>
        <v>Electronics</v>
      </c>
      <c r="K4" s="1">
        <f>VLOOKUP(D4:D48,Product_Master!$A$1:$F$8,4,FALSE)</f>
        <v>45</v>
      </c>
      <c r="L4" s="14">
        <f>VLOOKUP(D4:D48,Product_Master!$A$1:$F$8,5,FALSE)</f>
        <v>129.99</v>
      </c>
      <c r="M4" s="1" t="str">
        <f>IFERROR(VLOOKUP(C4:C48,Customer_database!$A$1:$F$11,5,FALSE),"Unknown Item")</f>
        <v>Sarah Connor</v>
      </c>
      <c r="N4" s="1" t="str">
        <f>IFERROR(VLOOKUP(C4:C48,Customer_database!$A$1:$F$11,4,FALSE),"Unknown Item")</f>
        <v>Silver</v>
      </c>
      <c r="O4" s="14">
        <f t="shared" si="0"/>
        <v>450</v>
      </c>
      <c r="P4" s="14">
        <f t="shared" si="1"/>
        <v>849.90000000000009</v>
      </c>
      <c r="Q4" s="1">
        <f t="shared" si="2"/>
        <v>8</v>
      </c>
      <c r="R4" s="1" t="str">
        <f t="shared" si="3"/>
        <v>Late</v>
      </c>
      <c r="S4" s="1" t="b">
        <f t="shared" si="4"/>
        <v>0</v>
      </c>
    </row>
    <row r="5" spans="1:19" x14ac:dyDescent="0.3">
      <c r="A5" s="2" t="s">
        <v>22</v>
      </c>
      <c r="B5" s="3">
        <v>45299</v>
      </c>
      <c r="C5" s="2" t="s">
        <v>23</v>
      </c>
      <c r="D5" s="2" t="s">
        <v>24</v>
      </c>
      <c r="E5" s="2">
        <v>2</v>
      </c>
      <c r="F5" s="3">
        <v>45300</v>
      </c>
      <c r="G5" s="2" t="s">
        <v>11</v>
      </c>
      <c r="H5" s="2"/>
      <c r="I5" s="1" t="str">
        <f>VLOOKUP(D5,Product_Master!$A$1:$F$8,2,FALSE)</f>
        <v>Dual Monitor Arm</v>
      </c>
      <c r="J5" s="1" t="str">
        <f>VLOOKUP(D5,Product_Master!$A$1:$F$8,3,FALSE)</f>
        <v>Electronics</v>
      </c>
      <c r="K5" s="1">
        <f>VLOOKUP(D5:D49,Product_Master!$A$1:$F$8,4,FALSE)</f>
        <v>25</v>
      </c>
      <c r="L5" s="14">
        <f>VLOOKUP(D5:D49,Product_Master!$A$1:$F$8,5,FALSE)</f>
        <v>75</v>
      </c>
      <c r="M5" s="1" t="str">
        <f>IFERROR(VLOOKUP(C5:C49,Customer_database!$A$1:$F$11,5,FALSE),"Unknown Item")</f>
        <v>Dwight Schrute</v>
      </c>
      <c r="N5" s="1" t="str">
        <f>IFERROR(VLOOKUP(C5:C49,Customer_database!$A$1:$F$11,4,FALSE),"Unknown Item")</f>
        <v>Silver</v>
      </c>
      <c r="O5" s="14">
        <f t="shared" si="0"/>
        <v>50</v>
      </c>
      <c r="P5" s="14">
        <f t="shared" si="1"/>
        <v>100</v>
      </c>
      <c r="Q5" s="1">
        <f t="shared" si="2"/>
        <v>1</v>
      </c>
      <c r="R5" s="1" t="str">
        <f t="shared" si="3"/>
        <v>On Time</v>
      </c>
      <c r="S5" s="1" t="b">
        <f t="shared" si="4"/>
        <v>0</v>
      </c>
    </row>
    <row r="6" spans="1:19" x14ac:dyDescent="0.3">
      <c r="A6" s="2" t="s">
        <v>25</v>
      </c>
      <c r="B6" s="3">
        <v>45301</v>
      </c>
      <c r="C6" s="2" t="s">
        <v>9</v>
      </c>
      <c r="D6" s="2" t="s">
        <v>10</v>
      </c>
      <c r="E6" s="2">
        <v>1</v>
      </c>
      <c r="F6" s="3">
        <v>45303</v>
      </c>
      <c r="G6" s="2" t="s">
        <v>11</v>
      </c>
      <c r="H6" s="2" t="s">
        <v>26</v>
      </c>
      <c r="I6" s="1" t="str">
        <f>VLOOKUP(D6,Product_Master!$A$1:$F$8,2,FALSE)</f>
        <v>Wireless Mouse X1</v>
      </c>
      <c r="J6" s="1" t="str">
        <f>VLOOKUP(D6,Product_Master!$A$1:$F$8,3,FALSE)</f>
        <v>Electronics</v>
      </c>
      <c r="K6" s="1">
        <f>VLOOKUP(D6:D50,Product_Master!$A$1:$F$8,4,FALSE)</f>
        <v>12.5</v>
      </c>
      <c r="L6" s="14">
        <f>VLOOKUP(D6:D50,Product_Master!$A$1:$F$8,5,FALSE)</f>
        <v>39.99</v>
      </c>
      <c r="M6" s="1" t="str">
        <f>IFERROR(VLOOKUP(C6:C50,Customer_database!$A$1:$F$11,5,FALSE),"Unknown Item")</f>
        <v>John Smith</v>
      </c>
      <c r="N6" s="1" t="str">
        <f>IFERROR(VLOOKUP(C6:C50,Customer_database!$A$1:$F$11,4,FALSE),"Unknown Item")</f>
        <v>Gold</v>
      </c>
      <c r="O6" s="14">
        <f t="shared" si="0"/>
        <v>12.5</v>
      </c>
      <c r="P6" s="14">
        <f t="shared" si="1"/>
        <v>27.490000000000002</v>
      </c>
      <c r="Q6" s="1">
        <f t="shared" si="2"/>
        <v>2</v>
      </c>
      <c r="R6" s="1" t="str">
        <f t="shared" si="3"/>
        <v>On Time</v>
      </c>
      <c r="S6" s="1" t="b">
        <f t="shared" si="4"/>
        <v>1</v>
      </c>
    </row>
    <row r="7" spans="1:19" x14ac:dyDescent="0.3">
      <c r="A7" s="2" t="s">
        <v>27</v>
      </c>
      <c r="B7" s="3">
        <v>45303</v>
      </c>
      <c r="C7" s="2" t="s">
        <v>28</v>
      </c>
      <c r="D7" s="2" t="s">
        <v>29</v>
      </c>
      <c r="E7" s="2">
        <v>3</v>
      </c>
      <c r="F7" s="3">
        <v>45310</v>
      </c>
      <c r="G7" s="2" t="s">
        <v>30</v>
      </c>
      <c r="H7" s="2" t="s">
        <v>12</v>
      </c>
      <c r="I7" s="1" t="str">
        <f>VLOOKUP(D7,Product_Master!$A$1:$F$8,2,FALSE)</f>
        <v>Oak Standing Desk</v>
      </c>
      <c r="J7" s="1" t="str">
        <f>VLOOKUP(D7,Product_Master!$A$1:$F$8,3,FALSE)</f>
        <v>Furniture</v>
      </c>
      <c r="K7" s="1">
        <f>VLOOKUP(D7:D51,Product_Master!$A$1:$F$8,4,FALSE)</f>
        <v>160</v>
      </c>
      <c r="L7" s="14">
        <f>VLOOKUP(D7:D51,Product_Master!$A$1:$F$8,5,FALSE)</f>
        <v>450</v>
      </c>
      <c r="M7" s="1" t="str">
        <f>IFERROR(VLOOKUP(C7:C51,Customer_database!$A$1:$F$11,5,FALSE),"Unknown Item")</f>
        <v>Michael Scott</v>
      </c>
      <c r="N7" s="1" t="str">
        <f>IFERROR(VLOOKUP(C7:C51,Customer_database!$A$1:$F$11,4,FALSE),"Unknown Item")</f>
        <v>Gold</v>
      </c>
      <c r="O7" s="14">
        <f t="shared" si="0"/>
        <v>480</v>
      </c>
      <c r="P7" s="14">
        <f t="shared" si="1"/>
        <v>870</v>
      </c>
      <c r="Q7" s="1">
        <f t="shared" si="2"/>
        <v>7</v>
      </c>
      <c r="R7" s="1" t="str">
        <f t="shared" si="3"/>
        <v>Late</v>
      </c>
      <c r="S7" s="1" t="b">
        <f t="shared" si="4"/>
        <v>1</v>
      </c>
    </row>
    <row r="8" spans="1:19" x14ac:dyDescent="0.3">
      <c r="A8" s="2" t="s">
        <v>31</v>
      </c>
      <c r="B8" s="3">
        <v>45306</v>
      </c>
      <c r="C8" s="2" t="s">
        <v>32</v>
      </c>
      <c r="D8" s="2" t="s">
        <v>33</v>
      </c>
      <c r="E8" s="2">
        <v>4</v>
      </c>
      <c r="F8" s="3">
        <v>45313</v>
      </c>
      <c r="G8" s="2" t="s">
        <v>16</v>
      </c>
      <c r="H8" s="2"/>
      <c r="I8" s="1" t="str">
        <f>VLOOKUP(D8,Product_Master!$A$1:$F$8,2,FALSE)</f>
        <v>Smart LED Lamp</v>
      </c>
      <c r="J8" s="1" t="str">
        <f>VLOOKUP(D8,Product_Master!$A$1:$F$8,3,FALSE)</f>
        <v>Home Decor</v>
      </c>
      <c r="K8" s="1">
        <f>VLOOKUP(D8:D52,Product_Master!$A$1:$F$8,4,FALSE)</f>
        <v>15</v>
      </c>
      <c r="L8" s="14">
        <f>VLOOKUP(D8:D52,Product_Master!$A$1:$F$8,5,FALSE)</f>
        <v>45</v>
      </c>
      <c r="M8" s="1" t="str">
        <f>IFERROR(VLOOKUP(C8:C52,Customer_database!$A$1:$F$11,5,FALSE),"Unknown Item")</f>
        <v>Jim Halpert</v>
      </c>
      <c r="N8" s="1" t="str">
        <f>IFERROR(VLOOKUP(C8:C52,Customer_database!$A$1:$F$11,4,FALSE),"Unknown Item")</f>
        <v>Bronze</v>
      </c>
      <c r="O8" s="14">
        <f t="shared" si="0"/>
        <v>60</v>
      </c>
      <c r="P8" s="14">
        <f t="shared" si="1"/>
        <v>120</v>
      </c>
      <c r="Q8" s="1">
        <f t="shared" si="2"/>
        <v>7</v>
      </c>
      <c r="R8" s="1" t="str">
        <f t="shared" si="3"/>
        <v>Late</v>
      </c>
      <c r="S8" s="1" t="b">
        <f t="shared" si="4"/>
        <v>0</v>
      </c>
    </row>
    <row r="9" spans="1:19" x14ac:dyDescent="0.3">
      <c r="A9" s="2" t="s">
        <v>34</v>
      </c>
      <c r="B9" s="3">
        <v>45307</v>
      </c>
      <c r="C9" s="2" t="s">
        <v>18</v>
      </c>
      <c r="D9" s="2" t="s">
        <v>19</v>
      </c>
      <c r="E9" s="2">
        <v>6</v>
      </c>
      <c r="F9" s="3">
        <v>45309</v>
      </c>
      <c r="G9" s="2" t="s">
        <v>20</v>
      </c>
      <c r="H9" s="2"/>
      <c r="I9" s="1" t="str">
        <f>VLOOKUP(D9,Product_Master!$A$1:$F$8,2,FALSE)</f>
        <v>Mech Keyboard RGB</v>
      </c>
      <c r="J9" s="1" t="str">
        <f>VLOOKUP(D9,Product_Master!$A$1:$F$8,3,FALSE)</f>
        <v>Electronics</v>
      </c>
      <c r="K9" s="1">
        <f>VLOOKUP(D9:D53,Product_Master!$A$1:$F$8,4,FALSE)</f>
        <v>45</v>
      </c>
      <c r="L9" s="14">
        <f>VLOOKUP(D9:D53,Product_Master!$A$1:$F$8,5,FALSE)</f>
        <v>129.99</v>
      </c>
      <c r="M9" s="1" t="str">
        <f>IFERROR(VLOOKUP(C9:C53,Customer_database!$A$1:$F$11,5,FALSE),"Unknown Item")</f>
        <v>Sarah Connor</v>
      </c>
      <c r="N9" s="1" t="str">
        <f>IFERROR(VLOOKUP(C9:C53,Customer_database!$A$1:$F$11,4,FALSE),"Unknown Item")</f>
        <v>Silver</v>
      </c>
      <c r="O9" s="14">
        <f t="shared" si="0"/>
        <v>270</v>
      </c>
      <c r="P9" s="14">
        <f t="shared" si="1"/>
        <v>509.94000000000005</v>
      </c>
      <c r="Q9" s="1">
        <f t="shared" si="2"/>
        <v>2</v>
      </c>
      <c r="R9" s="1" t="str">
        <f t="shared" si="3"/>
        <v>On Time</v>
      </c>
      <c r="S9" s="1" t="b">
        <f t="shared" si="4"/>
        <v>0</v>
      </c>
    </row>
    <row r="10" spans="1:19" x14ac:dyDescent="0.3">
      <c r="A10" s="2" t="s">
        <v>35</v>
      </c>
      <c r="B10" s="3">
        <v>45309</v>
      </c>
      <c r="C10" s="2" t="s">
        <v>36</v>
      </c>
      <c r="D10" s="2" t="s">
        <v>15</v>
      </c>
      <c r="E10" s="2">
        <v>2</v>
      </c>
      <c r="F10" s="3">
        <v>45320</v>
      </c>
      <c r="G10" s="2" t="s">
        <v>30</v>
      </c>
      <c r="H10" s="2" t="s">
        <v>37</v>
      </c>
      <c r="I10" s="1" t="str">
        <f>VLOOKUP(D10,Product_Master!$A$1:$F$8,2,FALSE)</f>
        <v>Ergo Office Chair</v>
      </c>
      <c r="J10" s="1" t="str">
        <f>VLOOKUP(D10,Product_Master!$A$1:$F$8,3,FALSE)</f>
        <v>Furniture</v>
      </c>
      <c r="K10" s="1">
        <f>VLOOKUP(D10:D54,Product_Master!$A$1:$F$8,4,FALSE)</f>
        <v>85</v>
      </c>
      <c r="L10" s="14">
        <f>VLOOKUP(D10:D54,Product_Master!$A$1:$F$8,5,FALSE)</f>
        <v>249.99</v>
      </c>
      <c r="M10" s="1" t="str">
        <f>IFERROR(VLOOKUP(C10:C54,Customer_database!$A$1:$F$11,5,FALSE),"Unknown Item")</f>
        <v>Ryan Howard</v>
      </c>
      <c r="N10" s="1" t="str">
        <f>IFERROR(VLOOKUP(C10:C54,Customer_database!$A$1:$F$11,4,FALSE),"Unknown Item")</f>
        <v>Bronze</v>
      </c>
      <c r="O10" s="14">
        <f t="shared" si="0"/>
        <v>170</v>
      </c>
      <c r="P10" s="14">
        <f t="shared" si="1"/>
        <v>329.98</v>
      </c>
      <c r="Q10" s="1">
        <f t="shared" si="2"/>
        <v>11</v>
      </c>
      <c r="R10" s="1" t="str">
        <f t="shared" si="3"/>
        <v>Late</v>
      </c>
      <c r="S10" s="1" t="b">
        <f t="shared" si="4"/>
        <v>0</v>
      </c>
    </row>
    <row r="11" spans="1:19" x14ac:dyDescent="0.3">
      <c r="A11" s="2" t="s">
        <v>38</v>
      </c>
      <c r="B11" s="3">
        <v>45311</v>
      </c>
      <c r="C11" s="2" t="s">
        <v>14</v>
      </c>
      <c r="D11" s="2" t="s">
        <v>24</v>
      </c>
      <c r="E11" s="2">
        <v>1</v>
      </c>
      <c r="F11" s="3">
        <v>45312</v>
      </c>
      <c r="G11" s="2" t="s">
        <v>16</v>
      </c>
      <c r="H11" s="2"/>
      <c r="I11" s="1" t="str">
        <f>VLOOKUP(D11,Product_Master!$A$1:$F$8,2,FALSE)</f>
        <v>Dual Monitor Arm</v>
      </c>
      <c r="J11" s="1" t="str">
        <f>VLOOKUP(D11,Product_Master!$A$1:$F$8,3,FALSE)</f>
        <v>Electronics</v>
      </c>
      <c r="K11" s="1">
        <f>VLOOKUP(D11:D55,Product_Master!$A$1:$F$8,4,FALSE)</f>
        <v>25</v>
      </c>
      <c r="L11" s="14">
        <f>VLOOKUP(D11:D55,Product_Master!$A$1:$F$8,5,FALSE)</f>
        <v>75</v>
      </c>
      <c r="M11" s="1" t="str">
        <f>IFERROR(VLOOKUP(C11:C55,Customer_database!$A$1:$F$11,5,FALSE),"Unknown Item")</f>
        <v>Emily Blunt</v>
      </c>
      <c r="N11" s="1" t="str">
        <f>IFERROR(VLOOKUP(C11:C55,Customer_database!$A$1:$F$11,4,FALSE),"Unknown Item")</f>
        <v>Bronze</v>
      </c>
      <c r="O11" s="14">
        <f t="shared" si="0"/>
        <v>25</v>
      </c>
      <c r="P11" s="14">
        <f t="shared" si="1"/>
        <v>50</v>
      </c>
      <c r="Q11" s="1">
        <f t="shared" si="2"/>
        <v>1</v>
      </c>
      <c r="R11" s="1" t="str">
        <f t="shared" si="3"/>
        <v>On Time</v>
      </c>
      <c r="S11" s="1" t="b">
        <f t="shared" si="4"/>
        <v>0</v>
      </c>
    </row>
    <row r="12" spans="1:19" x14ac:dyDescent="0.3">
      <c r="A12" s="2" t="s">
        <v>39</v>
      </c>
      <c r="B12" s="3">
        <v>45313</v>
      </c>
      <c r="C12" s="2" t="s">
        <v>40</v>
      </c>
      <c r="D12" s="2" t="s">
        <v>10</v>
      </c>
      <c r="E12" s="2">
        <v>20</v>
      </c>
      <c r="F12" s="3">
        <v>45314</v>
      </c>
      <c r="G12" s="2" t="s">
        <v>11</v>
      </c>
      <c r="H12" s="2" t="s">
        <v>41</v>
      </c>
      <c r="I12" s="1" t="str">
        <f>VLOOKUP(D12,Product_Master!$A$1:$F$8,2,FALSE)</f>
        <v>Wireless Mouse X1</v>
      </c>
      <c r="J12" s="1" t="str">
        <f>VLOOKUP(D12,Product_Master!$A$1:$F$8,3,FALSE)</f>
        <v>Electronics</v>
      </c>
      <c r="K12" s="1">
        <f>VLOOKUP(D12:D56,Product_Master!$A$1:$F$8,4,FALSE)</f>
        <v>12.5</v>
      </c>
      <c r="L12" s="14">
        <f>VLOOKUP(D12:D56,Product_Master!$A$1:$F$8,5,FALSE)</f>
        <v>39.99</v>
      </c>
      <c r="M12" s="1" t="str">
        <f>IFERROR(VLOOKUP(C12:C56,Customer_database!$A$1:$F$11,5,FALSE),"Unknown Item")</f>
        <v>Creed Bratton</v>
      </c>
      <c r="N12" s="1" t="str">
        <f>IFERROR(VLOOKUP(C12:C56,Customer_database!$A$1:$F$11,4,FALSE),"Unknown Item")</f>
        <v>Gold</v>
      </c>
      <c r="O12" s="14">
        <f t="shared" si="0"/>
        <v>250</v>
      </c>
      <c r="P12" s="14">
        <f t="shared" si="1"/>
        <v>549.80000000000007</v>
      </c>
      <c r="Q12" s="1">
        <f t="shared" si="2"/>
        <v>1</v>
      </c>
      <c r="R12" s="1" t="str">
        <f t="shared" si="3"/>
        <v>On Time</v>
      </c>
      <c r="S12" s="1" t="b">
        <f t="shared" si="4"/>
        <v>0</v>
      </c>
    </row>
    <row r="13" spans="1:19" x14ac:dyDescent="0.3">
      <c r="A13" s="2" t="s">
        <v>42</v>
      </c>
      <c r="B13" s="3">
        <v>45316</v>
      </c>
      <c r="C13" s="2" t="s">
        <v>43</v>
      </c>
      <c r="D13" s="2" t="s">
        <v>15</v>
      </c>
      <c r="E13" s="2">
        <v>3</v>
      </c>
      <c r="F13" s="3">
        <v>45327</v>
      </c>
      <c r="G13" s="2" t="s">
        <v>20</v>
      </c>
      <c r="H13" s="2"/>
      <c r="I13" s="1" t="str">
        <f>VLOOKUP(D13,Product_Master!$A$1:$F$8,2,FALSE)</f>
        <v>Ergo Office Chair</v>
      </c>
      <c r="J13" s="1" t="str">
        <f>VLOOKUP(D13,Product_Master!$A$1:$F$8,3,FALSE)</f>
        <v>Furniture</v>
      </c>
      <c r="K13" s="1">
        <f>VLOOKUP(D13:D57,Product_Master!$A$1:$F$8,4,FALSE)</f>
        <v>85</v>
      </c>
      <c r="L13" s="14">
        <f>VLOOKUP(D13:D57,Product_Master!$A$1:$F$8,5,FALSE)</f>
        <v>249.99</v>
      </c>
      <c r="M13" s="1" t="str">
        <f>IFERROR(VLOOKUP(C13:C57,Customer_database!$A$1:$F$11,5,FALSE),"Unknown Item")</f>
        <v>Pam Beesly</v>
      </c>
      <c r="N13" s="1" t="str">
        <f>IFERROR(VLOOKUP(C13:C57,Customer_database!$A$1:$F$11,4,FALSE),"Unknown Item")</f>
        <v>Silver</v>
      </c>
      <c r="O13" s="14">
        <f t="shared" si="0"/>
        <v>255</v>
      </c>
      <c r="P13" s="14">
        <f t="shared" si="1"/>
        <v>494.97</v>
      </c>
      <c r="Q13" s="1">
        <f t="shared" si="2"/>
        <v>11</v>
      </c>
      <c r="R13" s="1" t="str">
        <f t="shared" si="3"/>
        <v>Late</v>
      </c>
      <c r="S13" s="1" t="b">
        <f t="shared" si="4"/>
        <v>0</v>
      </c>
    </row>
    <row r="14" spans="1:19" x14ac:dyDescent="0.3">
      <c r="A14" s="2" t="s">
        <v>44</v>
      </c>
      <c r="B14" s="3">
        <v>45317</v>
      </c>
      <c r="C14" s="2" t="s">
        <v>45</v>
      </c>
      <c r="D14" s="2" t="s">
        <v>29</v>
      </c>
      <c r="E14" s="2">
        <v>2</v>
      </c>
      <c r="F14" s="3">
        <v>45319</v>
      </c>
      <c r="G14" s="2" t="s">
        <v>30</v>
      </c>
      <c r="H14" s="2" t="s">
        <v>12</v>
      </c>
      <c r="I14" s="1" t="str">
        <f>VLOOKUP(D14,Product_Master!$A$1:$F$8,2,FALSE)</f>
        <v>Oak Standing Desk</v>
      </c>
      <c r="J14" s="1" t="str">
        <f>VLOOKUP(D14,Product_Master!$A$1:$F$8,3,FALSE)</f>
        <v>Furniture</v>
      </c>
      <c r="K14" s="1">
        <f>VLOOKUP(D14:D58,Product_Master!$A$1:$F$8,4,FALSE)</f>
        <v>160</v>
      </c>
      <c r="L14" s="14">
        <f>VLOOKUP(D14:D58,Product_Master!$A$1:$F$8,5,FALSE)</f>
        <v>450</v>
      </c>
      <c r="M14" s="1" t="str">
        <f>IFERROR(VLOOKUP(C14:C58,Customer_database!$A$1:$F$11,5,FALSE),"Unknown Item")</f>
        <v>Stanley Hudson</v>
      </c>
      <c r="N14" s="1" t="str">
        <f>IFERROR(VLOOKUP(C14:C58,Customer_database!$A$1:$F$11,4,FALSE),"Unknown Item")</f>
        <v>Silver</v>
      </c>
      <c r="O14" s="14">
        <f t="shared" si="0"/>
        <v>320</v>
      </c>
      <c r="P14" s="14">
        <f t="shared" si="1"/>
        <v>580</v>
      </c>
      <c r="Q14" s="1">
        <f t="shared" si="2"/>
        <v>2</v>
      </c>
      <c r="R14" s="1" t="str">
        <f t="shared" si="3"/>
        <v>On Time</v>
      </c>
      <c r="S14" s="1" t="b">
        <f t="shared" si="4"/>
        <v>1</v>
      </c>
    </row>
    <row r="15" spans="1:19" x14ac:dyDescent="0.3">
      <c r="A15" s="2" t="s">
        <v>46</v>
      </c>
      <c r="B15" s="3">
        <v>45319</v>
      </c>
      <c r="C15" s="2" t="s">
        <v>23</v>
      </c>
      <c r="D15" s="2" t="s">
        <v>33</v>
      </c>
      <c r="E15" s="2">
        <v>1</v>
      </c>
      <c r="F15" s="3">
        <v>45324</v>
      </c>
      <c r="G15" s="2" t="s">
        <v>11</v>
      </c>
      <c r="H15" s="2"/>
      <c r="I15" s="1" t="str">
        <f>VLOOKUP(D15,Product_Master!$A$1:$F$8,2,FALSE)</f>
        <v>Smart LED Lamp</v>
      </c>
      <c r="J15" s="1" t="str">
        <f>VLOOKUP(D15,Product_Master!$A$1:$F$8,3,FALSE)</f>
        <v>Home Decor</v>
      </c>
      <c r="K15" s="1">
        <f>VLOOKUP(D15:D59,Product_Master!$A$1:$F$8,4,FALSE)</f>
        <v>15</v>
      </c>
      <c r="L15" s="14">
        <f>VLOOKUP(D15:D59,Product_Master!$A$1:$F$8,5,FALSE)</f>
        <v>45</v>
      </c>
      <c r="M15" s="1" t="str">
        <f>IFERROR(VLOOKUP(C15:C59,Customer_database!$A$1:$F$11,5,FALSE),"Unknown Item")</f>
        <v>Dwight Schrute</v>
      </c>
      <c r="N15" s="1" t="str">
        <f>IFERROR(VLOOKUP(C15:C59,Customer_database!$A$1:$F$11,4,FALSE),"Unknown Item")</f>
        <v>Silver</v>
      </c>
      <c r="O15" s="14">
        <f t="shared" si="0"/>
        <v>15</v>
      </c>
      <c r="P15" s="14">
        <f t="shared" si="1"/>
        <v>30</v>
      </c>
      <c r="Q15" s="1">
        <f t="shared" si="2"/>
        <v>5</v>
      </c>
      <c r="R15" s="1" t="str">
        <f t="shared" si="3"/>
        <v>On Time</v>
      </c>
      <c r="S15" s="1" t="b">
        <f t="shared" si="4"/>
        <v>0</v>
      </c>
    </row>
    <row r="16" spans="1:19" x14ac:dyDescent="0.3">
      <c r="A16" s="2" t="s">
        <v>47</v>
      </c>
      <c r="B16" s="3">
        <v>45321</v>
      </c>
      <c r="C16" s="2" t="s">
        <v>9</v>
      </c>
      <c r="D16" s="2" t="s">
        <v>19</v>
      </c>
      <c r="E16" s="2">
        <v>5</v>
      </c>
      <c r="F16" s="3">
        <v>45323</v>
      </c>
      <c r="G16" s="2" t="s">
        <v>11</v>
      </c>
      <c r="H16" s="2" t="s">
        <v>26</v>
      </c>
      <c r="I16" s="1" t="str">
        <f>VLOOKUP(D16,Product_Master!$A$1:$F$8,2,FALSE)</f>
        <v>Mech Keyboard RGB</v>
      </c>
      <c r="J16" s="1" t="str">
        <f>VLOOKUP(D16,Product_Master!$A$1:$F$8,3,FALSE)</f>
        <v>Electronics</v>
      </c>
      <c r="K16" s="1">
        <f>VLOOKUP(D16:D60,Product_Master!$A$1:$F$8,4,FALSE)</f>
        <v>45</v>
      </c>
      <c r="L16" s="14">
        <f>VLOOKUP(D16:D60,Product_Master!$A$1:$F$8,5,FALSE)</f>
        <v>129.99</v>
      </c>
      <c r="M16" s="1" t="str">
        <f>IFERROR(VLOOKUP(C16:C60,Customer_database!$A$1:$F$11,5,FALSE),"Unknown Item")</f>
        <v>John Smith</v>
      </c>
      <c r="N16" s="1" t="str">
        <f>IFERROR(VLOOKUP(C16:C60,Customer_database!$A$1:$F$11,4,FALSE),"Unknown Item")</f>
        <v>Gold</v>
      </c>
      <c r="O16" s="14">
        <f t="shared" si="0"/>
        <v>225</v>
      </c>
      <c r="P16" s="14">
        <f t="shared" si="1"/>
        <v>424.95000000000005</v>
      </c>
      <c r="Q16" s="1">
        <f t="shared" si="2"/>
        <v>2</v>
      </c>
      <c r="R16" s="1" t="str">
        <f t="shared" si="3"/>
        <v>On Time</v>
      </c>
      <c r="S16" s="1" t="b">
        <f t="shared" si="4"/>
        <v>1</v>
      </c>
    </row>
    <row r="17" spans="1:19" x14ac:dyDescent="0.3">
      <c r="A17" s="2" t="s">
        <v>8</v>
      </c>
      <c r="B17" s="3">
        <v>45294</v>
      </c>
      <c r="C17" s="2" t="s">
        <v>9</v>
      </c>
      <c r="D17" s="2" t="s">
        <v>10</v>
      </c>
      <c r="E17" s="2">
        <v>5</v>
      </c>
      <c r="F17" s="3">
        <v>45296</v>
      </c>
      <c r="G17" s="2" t="s">
        <v>11</v>
      </c>
      <c r="H17" s="2" t="s">
        <v>12</v>
      </c>
      <c r="I17" s="1" t="str">
        <f>VLOOKUP(D17,Product_Master!$A$1:$F$8,2,FALSE)</f>
        <v>Wireless Mouse X1</v>
      </c>
      <c r="J17" s="1" t="str">
        <f>VLOOKUP(D17,Product_Master!$A$1:$F$8,3,FALSE)</f>
        <v>Electronics</v>
      </c>
      <c r="K17" s="1">
        <f>VLOOKUP(D17:D61,Product_Master!$A$1:$F$8,4,FALSE)</f>
        <v>12.5</v>
      </c>
      <c r="L17" s="14">
        <f>VLOOKUP(D17:D61,Product_Master!$A$1:$F$8,5,FALSE)</f>
        <v>39.99</v>
      </c>
      <c r="M17" s="1" t="str">
        <f>IFERROR(VLOOKUP(C17:C61,Customer_database!$A$1:$F$11,5,FALSE),"Unknown Item")</f>
        <v>John Smith</v>
      </c>
      <c r="N17" s="1" t="str">
        <f>IFERROR(VLOOKUP(C17:C61,Customer_database!$A$1:$F$11,4,FALSE),"Unknown Item")</f>
        <v>Gold</v>
      </c>
      <c r="O17" s="14">
        <f t="shared" si="0"/>
        <v>62.5</v>
      </c>
      <c r="P17" s="14">
        <f t="shared" si="1"/>
        <v>137.45000000000002</v>
      </c>
      <c r="Q17" s="1">
        <f t="shared" si="2"/>
        <v>2</v>
      </c>
      <c r="R17" s="1" t="str">
        <f t="shared" si="3"/>
        <v>On Time</v>
      </c>
      <c r="S17" s="1" t="b">
        <f t="shared" si="4"/>
        <v>1</v>
      </c>
    </row>
    <row r="18" spans="1:19" x14ac:dyDescent="0.3">
      <c r="A18" s="2" t="s">
        <v>13</v>
      </c>
      <c r="B18" s="3">
        <v>45295</v>
      </c>
      <c r="C18" s="2" t="s">
        <v>14</v>
      </c>
      <c r="D18" s="2" t="s">
        <v>15</v>
      </c>
      <c r="E18" s="2">
        <v>1</v>
      </c>
      <c r="F18" s="3">
        <v>45299</v>
      </c>
      <c r="G18" s="2" t="s">
        <v>16</v>
      </c>
      <c r="H18" s="2"/>
      <c r="I18" s="1" t="str">
        <f>VLOOKUP(D18,Product_Master!$A$1:$F$8,2,FALSE)</f>
        <v>Ergo Office Chair</v>
      </c>
      <c r="J18" s="1" t="str">
        <f>VLOOKUP(D18,Product_Master!$A$1:$F$8,3,FALSE)</f>
        <v>Furniture</v>
      </c>
      <c r="K18" s="1">
        <f>VLOOKUP(D18:D62,Product_Master!$A$1:$F$8,4,FALSE)</f>
        <v>85</v>
      </c>
      <c r="L18" s="14">
        <f>VLOOKUP(D18:D62,Product_Master!$A$1:$F$8,5,FALSE)</f>
        <v>249.99</v>
      </c>
      <c r="M18" s="1" t="str">
        <f>IFERROR(VLOOKUP(C18:C62,Customer_database!$A$1:$F$11,5,FALSE),"Unknown Item")</f>
        <v>Emily Blunt</v>
      </c>
      <c r="N18" s="1" t="str">
        <f>IFERROR(VLOOKUP(C18:C62,Customer_database!$A$1:$F$11,4,FALSE),"Unknown Item")</f>
        <v>Bronze</v>
      </c>
      <c r="O18" s="14">
        <f t="shared" si="0"/>
        <v>85</v>
      </c>
      <c r="P18" s="14">
        <f t="shared" si="1"/>
        <v>164.99</v>
      </c>
      <c r="Q18" s="1">
        <f t="shared" si="2"/>
        <v>4</v>
      </c>
      <c r="R18" s="1" t="str">
        <f t="shared" si="3"/>
        <v>On Time</v>
      </c>
      <c r="S18" s="1" t="b">
        <f t="shared" si="4"/>
        <v>0</v>
      </c>
    </row>
    <row r="19" spans="1:19" x14ac:dyDescent="0.3">
      <c r="A19" s="2" t="s">
        <v>17</v>
      </c>
      <c r="B19" s="3">
        <v>45297</v>
      </c>
      <c r="C19" s="2" t="s">
        <v>18</v>
      </c>
      <c r="D19" s="2" t="s">
        <v>19</v>
      </c>
      <c r="E19" s="2">
        <v>10</v>
      </c>
      <c r="F19" s="3">
        <v>45305</v>
      </c>
      <c r="G19" s="2" t="s">
        <v>20</v>
      </c>
      <c r="H19" s="2" t="s">
        <v>21</v>
      </c>
      <c r="I19" s="1" t="str">
        <f>VLOOKUP(D19,Product_Master!$A$1:$F$8,2,FALSE)</f>
        <v>Mech Keyboard RGB</v>
      </c>
      <c r="J19" s="1" t="str">
        <f>VLOOKUP(D19,Product_Master!$A$1:$F$8,3,FALSE)</f>
        <v>Electronics</v>
      </c>
      <c r="K19" s="1">
        <f>VLOOKUP(D19:D63,Product_Master!$A$1:$F$8,4,FALSE)</f>
        <v>45</v>
      </c>
      <c r="L19" s="14">
        <f>VLOOKUP(D19:D63,Product_Master!$A$1:$F$8,5,FALSE)</f>
        <v>129.99</v>
      </c>
      <c r="M19" s="1" t="str">
        <f>IFERROR(VLOOKUP(C19:C63,Customer_database!$A$1:$F$11,5,FALSE),"Unknown Item")</f>
        <v>Sarah Connor</v>
      </c>
      <c r="N19" s="1" t="str">
        <f>IFERROR(VLOOKUP(C19:C63,Customer_database!$A$1:$F$11,4,FALSE),"Unknown Item")</f>
        <v>Silver</v>
      </c>
      <c r="O19" s="14">
        <f t="shared" si="0"/>
        <v>450</v>
      </c>
      <c r="P19" s="14">
        <f t="shared" si="1"/>
        <v>849.90000000000009</v>
      </c>
      <c r="Q19" s="1">
        <f t="shared" si="2"/>
        <v>8</v>
      </c>
      <c r="R19" s="1" t="str">
        <f t="shared" si="3"/>
        <v>Late</v>
      </c>
      <c r="S19" s="1" t="b">
        <f t="shared" si="4"/>
        <v>0</v>
      </c>
    </row>
    <row r="20" spans="1:19" x14ac:dyDescent="0.3">
      <c r="A20" s="2" t="s">
        <v>22</v>
      </c>
      <c r="B20" s="3">
        <v>45299</v>
      </c>
      <c r="C20" s="2" t="s">
        <v>23</v>
      </c>
      <c r="D20" s="2" t="s">
        <v>24</v>
      </c>
      <c r="E20" s="2">
        <v>2</v>
      </c>
      <c r="F20" s="3">
        <v>45300</v>
      </c>
      <c r="G20" s="2" t="s">
        <v>11</v>
      </c>
      <c r="H20" s="2"/>
      <c r="I20" s="1" t="str">
        <f>VLOOKUP(D20,Product_Master!$A$1:$F$8,2,FALSE)</f>
        <v>Dual Monitor Arm</v>
      </c>
      <c r="J20" s="1" t="str">
        <f>VLOOKUP(D20,Product_Master!$A$1:$F$8,3,FALSE)</f>
        <v>Electronics</v>
      </c>
      <c r="K20" s="1">
        <f>VLOOKUP(D20:D64,Product_Master!$A$1:$F$8,4,FALSE)</f>
        <v>25</v>
      </c>
      <c r="L20" s="14">
        <f>VLOOKUP(D20:D64,Product_Master!$A$1:$F$8,5,FALSE)</f>
        <v>75</v>
      </c>
      <c r="M20" s="1" t="str">
        <f>IFERROR(VLOOKUP(C20:C64,Customer_database!$A$1:$F$11,5,FALSE),"Unknown Item")</f>
        <v>Dwight Schrute</v>
      </c>
      <c r="N20" s="1" t="str">
        <f>IFERROR(VLOOKUP(C20:C64,Customer_database!$A$1:$F$11,4,FALSE),"Unknown Item")</f>
        <v>Silver</v>
      </c>
      <c r="O20" s="14">
        <f t="shared" si="0"/>
        <v>50</v>
      </c>
      <c r="P20" s="14">
        <f t="shared" si="1"/>
        <v>100</v>
      </c>
      <c r="Q20" s="1">
        <f t="shared" si="2"/>
        <v>1</v>
      </c>
      <c r="R20" s="1" t="str">
        <f t="shared" si="3"/>
        <v>On Time</v>
      </c>
      <c r="S20" s="1" t="b">
        <f t="shared" si="4"/>
        <v>0</v>
      </c>
    </row>
    <row r="21" spans="1:19" x14ac:dyDescent="0.3">
      <c r="A21" s="2" t="s">
        <v>25</v>
      </c>
      <c r="B21" s="3">
        <v>45301</v>
      </c>
      <c r="C21" s="2" t="s">
        <v>9</v>
      </c>
      <c r="D21" s="2" t="s">
        <v>10</v>
      </c>
      <c r="E21" s="2">
        <v>1</v>
      </c>
      <c r="F21" s="3">
        <v>45303</v>
      </c>
      <c r="G21" s="2" t="s">
        <v>11</v>
      </c>
      <c r="H21" s="2" t="s">
        <v>26</v>
      </c>
      <c r="I21" s="1" t="str">
        <f>VLOOKUP(D21,Product_Master!$A$1:$F$8,2,FALSE)</f>
        <v>Wireless Mouse X1</v>
      </c>
      <c r="J21" s="1" t="str">
        <f>VLOOKUP(D21,Product_Master!$A$1:$F$8,3,FALSE)</f>
        <v>Electronics</v>
      </c>
      <c r="K21" s="1">
        <f>VLOOKUP(D21:D65,Product_Master!$A$1:$F$8,4,FALSE)</f>
        <v>12.5</v>
      </c>
      <c r="L21" s="14">
        <f>VLOOKUP(D21:D65,Product_Master!$A$1:$F$8,5,FALSE)</f>
        <v>39.99</v>
      </c>
      <c r="M21" s="1" t="str">
        <f>IFERROR(VLOOKUP(C21:C65,Customer_database!$A$1:$F$11,5,FALSE),"Unknown Item")</f>
        <v>John Smith</v>
      </c>
      <c r="N21" s="1" t="str">
        <f>IFERROR(VLOOKUP(C21:C65,Customer_database!$A$1:$F$11,4,FALSE),"Unknown Item")</f>
        <v>Gold</v>
      </c>
      <c r="O21" s="14">
        <f t="shared" si="0"/>
        <v>12.5</v>
      </c>
      <c r="P21" s="14">
        <f t="shared" si="1"/>
        <v>27.490000000000002</v>
      </c>
      <c r="Q21" s="1">
        <f t="shared" si="2"/>
        <v>2</v>
      </c>
      <c r="R21" s="1" t="str">
        <f t="shared" si="3"/>
        <v>On Time</v>
      </c>
      <c r="S21" s="1" t="b">
        <f t="shared" si="4"/>
        <v>1</v>
      </c>
    </row>
    <row r="22" spans="1:19" x14ac:dyDescent="0.3">
      <c r="A22" s="2" t="s">
        <v>27</v>
      </c>
      <c r="B22" s="3">
        <v>45303</v>
      </c>
      <c r="C22" s="2" t="s">
        <v>28</v>
      </c>
      <c r="D22" s="2" t="s">
        <v>29</v>
      </c>
      <c r="E22" s="2">
        <v>3</v>
      </c>
      <c r="F22" s="3">
        <v>45310</v>
      </c>
      <c r="G22" s="2" t="s">
        <v>30</v>
      </c>
      <c r="H22" s="2" t="s">
        <v>12</v>
      </c>
      <c r="I22" s="1" t="str">
        <f>VLOOKUP(D22,Product_Master!$A$1:$F$8,2,FALSE)</f>
        <v>Oak Standing Desk</v>
      </c>
      <c r="J22" s="1" t="str">
        <f>VLOOKUP(D22,Product_Master!$A$1:$F$8,3,FALSE)</f>
        <v>Furniture</v>
      </c>
      <c r="K22" s="1">
        <f>VLOOKUP(D22:D66,Product_Master!$A$1:$F$8,4,FALSE)</f>
        <v>160</v>
      </c>
      <c r="L22" s="14">
        <f>VLOOKUP(D22:D66,Product_Master!$A$1:$F$8,5,FALSE)</f>
        <v>450</v>
      </c>
      <c r="M22" s="1" t="str">
        <f>IFERROR(VLOOKUP(C22:C66,Customer_database!$A$1:$F$11,5,FALSE),"Unknown Item")</f>
        <v>Michael Scott</v>
      </c>
      <c r="N22" s="1" t="str">
        <f>IFERROR(VLOOKUP(C22:C66,Customer_database!$A$1:$F$11,4,FALSE),"Unknown Item")</f>
        <v>Gold</v>
      </c>
      <c r="O22" s="14">
        <f t="shared" si="0"/>
        <v>480</v>
      </c>
      <c r="P22" s="14">
        <f t="shared" si="1"/>
        <v>870</v>
      </c>
      <c r="Q22" s="1">
        <f t="shared" si="2"/>
        <v>7</v>
      </c>
      <c r="R22" s="1" t="str">
        <f t="shared" si="3"/>
        <v>Late</v>
      </c>
      <c r="S22" s="1" t="b">
        <f t="shared" si="4"/>
        <v>1</v>
      </c>
    </row>
    <row r="23" spans="1:19" x14ac:dyDescent="0.3">
      <c r="A23" s="2" t="s">
        <v>31</v>
      </c>
      <c r="B23" s="3">
        <v>45306</v>
      </c>
      <c r="C23" s="2" t="s">
        <v>32</v>
      </c>
      <c r="D23" s="2" t="s">
        <v>33</v>
      </c>
      <c r="E23" s="2">
        <v>4</v>
      </c>
      <c r="F23" s="3">
        <v>45313</v>
      </c>
      <c r="G23" s="2" t="s">
        <v>16</v>
      </c>
      <c r="H23" s="2"/>
      <c r="I23" s="1" t="str">
        <f>VLOOKUP(D23,Product_Master!$A$1:$F$8,2,FALSE)</f>
        <v>Smart LED Lamp</v>
      </c>
      <c r="J23" s="1" t="str">
        <f>VLOOKUP(D23,Product_Master!$A$1:$F$8,3,FALSE)</f>
        <v>Home Decor</v>
      </c>
      <c r="K23" s="1">
        <f>VLOOKUP(D23:D67,Product_Master!$A$1:$F$8,4,FALSE)</f>
        <v>15</v>
      </c>
      <c r="L23" s="14">
        <f>VLOOKUP(D23:D67,Product_Master!$A$1:$F$8,5,FALSE)</f>
        <v>45</v>
      </c>
      <c r="M23" s="1" t="str">
        <f>IFERROR(VLOOKUP(C23:C67,Customer_database!$A$1:$F$11,5,FALSE),"Unknown Item")</f>
        <v>Jim Halpert</v>
      </c>
      <c r="N23" s="1" t="str">
        <f>IFERROR(VLOOKUP(C23:C67,Customer_database!$A$1:$F$11,4,FALSE),"Unknown Item")</f>
        <v>Bronze</v>
      </c>
      <c r="O23" s="14">
        <f t="shared" si="0"/>
        <v>60</v>
      </c>
      <c r="P23" s="14">
        <f t="shared" si="1"/>
        <v>120</v>
      </c>
      <c r="Q23" s="1">
        <f t="shared" si="2"/>
        <v>7</v>
      </c>
      <c r="R23" s="1" t="str">
        <f t="shared" si="3"/>
        <v>Late</v>
      </c>
      <c r="S23" s="1" t="b">
        <f t="shared" si="4"/>
        <v>0</v>
      </c>
    </row>
    <row r="24" spans="1:19" x14ac:dyDescent="0.3">
      <c r="A24" s="2" t="s">
        <v>34</v>
      </c>
      <c r="B24" s="3">
        <v>45307</v>
      </c>
      <c r="C24" s="2" t="s">
        <v>18</v>
      </c>
      <c r="D24" s="2" t="s">
        <v>19</v>
      </c>
      <c r="E24" s="2">
        <v>6</v>
      </c>
      <c r="F24" s="3">
        <v>45309</v>
      </c>
      <c r="G24" s="2" t="s">
        <v>20</v>
      </c>
      <c r="H24" s="2"/>
      <c r="I24" s="1" t="str">
        <f>VLOOKUP(D24,Product_Master!$A$1:$F$8,2,FALSE)</f>
        <v>Mech Keyboard RGB</v>
      </c>
      <c r="J24" s="1" t="str">
        <f>VLOOKUP(D24,Product_Master!$A$1:$F$8,3,FALSE)</f>
        <v>Electronics</v>
      </c>
      <c r="K24" s="1">
        <f>VLOOKUP(D24:D68,Product_Master!$A$1:$F$8,4,FALSE)</f>
        <v>45</v>
      </c>
      <c r="L24" s="14">
        <f>VLOOKUP(D24:D68,Product_Master!$A$1:$F$8,5,FALSE)</f>
        <v>129.99</v>
      </c>
      <c r="M24" s="1" t="str">
        <f>IFERROR(VLOOKUP(C24:C68,Customer_database!$A$1:$F$11,5,FALSE),"Unknown Item")</f>
        <v>Sarah Connor</v>
      </c>
      <c r="N24" s="1" t="str">
        <f>IFERROR(VLOOKUP(C24:C68,Customer_database!$A$1:$F$11,4,FALSE),"Unknown Item")</f>
        <v>Silver</v>
      </c>
      <c r="O24" s="14">
        <f t="shared" si="0"/>
        <v>270</v>
      </c>
      <c r="P24" s="14">
        <f t="shared" si="1"/>
        <v>509.94000000000005</v>
      </c>
      <c r="Q24" s="1">
        <f t="shared" si="2"/>
        <v>2</v>
      </c>
      <c r="R24" s="1" t="str">
        <f t="shared" si="3"/>
        <v>On Time</v>
      </c>
      <c r="S24" s="1" t="b">
        <f t="shared" si="4"/>
        <v>0</v>
      </c>
    </row>
    <row r="25" spans="1:19" x14ac:dyDescent="0.3">
      <c r="A25" s="2" t="s">
        <v>35</v>
      </c>
      <c r="B25" s="3">
        <v>45309</v>
      </c>
      <c r="C25" s="2" t="s">
        <v>36</v>
      </c>
      <c r="D25" s="2" t="s">
        <v>15</v>
      </c>
      <c r="E25" s="2">
        <v>2</v>
      </c>
      <c r="F25" s="3">
        <v>45320</v>
      </c>
      <c r="G25" s="2" t="s">
        <v>30</v>
      </c>
      <c r="H25" s="2" t="s">
        <v>37</v>
      </c>
      <c r="I25" s="1" t="str">
        <f>VLOOKUP(D25,Product_Master!$A$1:$F$8,2,FALSE)</f>
        <v>Ergo Office Chair</v>
      </c>
      <c r="J25" s="1" t="str">
        <f>VLOOKUP(D25,Product_Master!$A$1:$F$8,3,FALSE)</f>
        <v>Furniture</v>
      </c>
      <c r="K25" s="1">
        <f>VLOOKUP(D25:D69,Product_Master!$A$1:$F$8,4,FALSE)</f>
        <v>85</v>
      </c>
      <c r="L25" s="14">
        <f>VLOOKUP(D25:D69,Product_Master!$A$1:$F$8,5,FALSE)</f>
        <v>249.99</v>
      </c>
      <c r="M25" s="1" t="str">
        <f>IFERROR(VLOOKUP(C25:C69,Customer_database!$A$1:$F$11,5,FALSE),"Unknown Item")</f>
        <v>Ryan Howard</v>
      </c>
      <c r="N25" s="1" t="str">
        <f>IFERROR(VLOOKUP(C25:C69,Customer_database!$A$1:$F$11,4,FALSE),"Unknown Item")</f>
        <v>Bronze</v>
      </c>
      <c r="O25" s="14">
        <f t="shared" si="0"/>
        <v>170</v>
      </c>
      <c r="P25" s="14">
        <f t="shared" si="1"/>
        <v>329.98</v>
      </c>
      <c r="Q25" s="1">
        <f t="shared" si="2"/>
        <v>11</v>
      </c>
      <c r="R25" s="1" t="str">
        <f t="shared" si="3"/>
        <v>Late</v>
      </c>
      <c r="S25" s="1" t="b">
        <f t="shared" si="4"/>
        <v>0</v>
      </c>
    </row>
    <row r="26" spans="1:19" x14ac:dyDescent="0.3">
      <c r="A26" s="2" t="s">
        <v>38</v>
      </c>
      <c r="B26" s="3">
        <v>45311</v>
      </c>
      <c r="C26" s="2" t="s">
        <v>14</v>
      </c>
      <c r="D26" s="2" t="s">
        <v>24</v>
      </c>
      <c r="E26" s="2">
        <v>1</v>
      </c>
      <c r="F26" s="3">
        <v>45312</v>
      </c>
      <c r="G26" s="2" t="s">
        <v>16</v>
      </c>
      <c r="H26" s="2"/>
      <c r="I26" s="1" t="str">
        <f>VLOOKUP(D26,Product_Master!$A$1:$F$8,2,FALSE)</f>
        <v>Dual Monitor Arm</v>
      </c>
      <c r="J26" s="1" t="str">
        <f>VLOOKUP(D26,Product_Master!$A$1:$F$8,3,FALSE)</f>
        <v>Electronics</v>
      </c>
      <c r="K26" s="1">
        <f>VLOOKUP(D26:D70,Product_Master!$A$1:$F$8,4,FALSE)</f>
        <v>25</v>
      </c>
      <c r="L26" s="14">
        <f>VLOOKUP(D26:D70,Product_Master!$A$1:$F$8,5,FALSE)</f>
        <v>75</v>
      </c>
      <c r="M26" s="1" t="str">
        <f>IFERROR(VLOOKUP(C26:C70,Customer_database!$A$1:$F$11,5,FALSE),"Unknown Item")</f>
        <v>Emily Blunt</v>
      </c>
      <c r="N26" s="1" t="str">
        <f>IFERROR(VLOOKUP(C26:C70,Customer_database!$A$1:$F$11,4,FALSE),"Unknown Item")</f>
        <v>Bronze</v>
      </c>
      <c r="O26" s="14">
        <f t="shared" si="0"/>
        <v>25</v>
      </c>
      <c r="P26" s="14">
        <f t="shared" si="1"/>
        <v>50</v>
      </c>
      <c r="Q26" s="1">
        <f t="shared" si="2"/>
        <v>1</v>
      </c>
      <c r="R26" s="1" t="str">
        <f t="shared" si="3"/>
        <v>On Time</v>
      </c>
      <c r="S26" s="1" t="b">
        <f t="shared" si="4"/>
        <v>0</v>
      </c>
    </row>
    <row r="27" spans="1:19" x14ac:dyDescent="0.3">
      <c r="A27" s="2" t="s">
        <v>39</v>
      </c>
      <c r="B27" s="3">
        <v>45313</v>
      </c>
      <c r="C27" s="2" t="s">
        <v>40</v>
      </c>
      <c r="D27" s="2" t="s">
        <v>10</v>
      </c>
      <c r="E27" s="2">
        <v>20</v>
      </c>
      <c r="F27" s="3">
        <v>45314</v>
      </c>
      <c r="G27" s="2" t="s">
        <v>11</v>
      </c>
      <c r="H27" s="2" t="s">
        <v>41</v>
      </c>
      <c r="I27" s="1" t="str">
        <f>VLOOKUP(D27,Product_Master!$A$1:$F$8,2,FALSE)</f>
        <v>Wireless Mouse X1</v>
      </c>
      <c r="J27" s="1" t="str">
        <f>VLOOKUP(D27,Product_Master!$A$1:$F$8,3,FALSE)</f>
        <v>Electronics</v>
      </c>
      <c r="K27" s="1">
        <f>VLOOKUP(D27:D71,Product_Master!$A$1:$F$8,4,FALSE)</f>
        <v>12.5</v>
      </c>
      <c r="L27" s="14">
        <f>VLOOKUP(D27:D71,Product_Master!$A$1:$F$8,5,FALSE)</f>
        <v>39.99</v>
      </c>
      <c r="M27" s="1" t="str">
        <f>IFERROR(VLOOKUP(C27:C71,Customer_database!$A$1:$F$11,5,FALSE),"Unknown Item")</f>
        <v>Creed Bratton</v>
      </c>
      <c r="N27" s="1" t="str">
        <f>IFERROR(VLOOKUP(C27:C71,Customer_database!$A$1:$F$11,4,FALSE),"Unknown Item")</f>
        <v>Gold</v>
      </c>
      <c r="O27" s="14">
        <f t="shared" si="0"/>
        <v>250</v>
      </c>
      <c r="P27" s="14">
        <f t="shared" si="1"/>
        <v>549.80000000000007</v>
      </c>
      <c r="Q27" s="1">
        <f t="shared" si="2"/>
        <v>1</v>
      </c>
      <c r="R27" s="1" t="str">
        <f t="shared" si="3"/>
        <v>On Time</v>
      </c>
      <c r="S27" s="1" t="b">
        <f t="shared" si="4"/>
        <v>0</v>
      </c>
    </row>
    <row r="28" spans="1:19" x14ac:dyDescent="0.3">
      <c r="A28" s="2" t="s">
        <v>42</v>
      </c>
      <c r="B28" s="3">
        <v>45316</v>
      </c>
      <c r="C28" s="2" t="s">
        <v>43</v>
      </c>
      <c r="D28" s="2" t="s">
        <v>15</v>
      </c>
      <c r="E28" s="2">
        <v>3</v>
      </c>
      <c r="F28" s="3">
        <v>45327</v>
      </c>
      <c r="G28" s="2" t="s">
        <v>20</v>
      </c>
      <c r="H28" s="2"/>
      <c r="I28" s="1" t="str">
        <f>VLOOKUP(D28,Product_Master!$A$1:$F$8,2,FALSE)</f>
        <v>Ergo Office Chair</v>
      </c>
      <c r="J28" s="1" t="str">
        <f>VLOOKUP(D28,Product_Master!$A$1:$F$8,3,FALSE)</f>
        <v>Furniture</v>
      </c>
      <c r="K28" s="1">
        <f>VLOOKUP(D28:D72,Product_Master!$A$1:$F$8,4,FALSE)</f>
        <v>85</v>
      </c>
      <c r="L28" s="14">
        <f>VLOOKUP(D28:D72,Product_Master!$A$1:$F$8,5,FALSE)</f>
        <v>249.99</v>
      </c>
      <c r="M28" s="1" t="str">
        <f>IFERROR(VLOOKUP(C28:C72,Customer_database!$A$1:$F$11,5,FALSE),"Unknown Item")</f>
        <v>Pam Beesly</v>
      </c>
      <c r="N28" s="1" t="str">
        <f>IFERROR(VLOOKUP(C28:C72,Customer_database!$A$1:$F$11,4,FALSE),"Unknown Item")</f>
        <v>Silver</v>
      </c>
      <c r="O28" s="14">
        <f t="shared" si="0"/>
        <v>255</v>
      </c>
      <c r="P28" s="14">
        <f t="shared" si="1"/>
        <v>494.97</v>
      </c>
      <c r="Q28" s="1">
        <f t="shared" si="2"/>
        <v>11</v>
      </c>
      <c r="R28" s="1" t="str">
        <f t="shared" si="3"/>
        <v>Late</v>
      </c>
      <c r="S28" s="1" t="b">
        <f t="shared" si="4"/>
        <v>0</v>
      </c>
    </row>
    <row r="29" spans="1:19" x14ac:dyDescent="0.3">
      <c r="A29" s="2" t="s">
        <v>44</v>
      </c>
      <c r="B29" s="3">
        <v>45317</v>
      </c>
      <c r="C29" s="2" t="s">
        <v>45</v>
      </c>
      <c r="D29" s="2" t="s">
        <v>29</v>
      </c>
      <c r="E29" s="2">
        <v>2</v>
      </c>
      <c r="F29" s="3">
        <v>45319</v>
      </c>
      <c r="G29" s="2" t="s">
        <v>30</v>
      </c>
      <c r="H29" s="2" t="s">
        <v>12</v>
      </c>
      <c r="I29" s="1" t="str">
        <f>VLOOKUP(D29,Product_Master!$A$1:$F$8,2,FALSE)</f>
        <v>Oak Standing Desk</v>
      </c>
      <c r="J29" s="1" t="str">
        <f>VLOOKUP(D29,Product_Master!$A$1:$F$8,3,FALSE)</f>
        <v>Furniture</v>
      </c>
      <c r="K29" s="1">
        <f>VLOOKUP(D29:D73,Product_Master!$A$1:$F$8,4,FALSE)</f>
        <v>160</v>
      </c>
      <c r="L29" s="14">
        <f>VLOOKUP(D29:D73,Product_Master!$A$1:$F$8,5,FALSE)</f>
        <v>450</v>
      </c>
      <c r="M29" s="1" t="str">
        <f>IFERROR(VLOOKUP(C29:C73,Customer_database!$A$1:$F$11,5,FALSE),"Unknown Item")</f>
        <v>Stanley Hudson</v>
      </c>
      <c r="N29" s="1" t="str">
        <f>IFERROR(VLOOKUP(C29:C73,Customer_database!$A$1:$F$11,4,FALSE),"Unknown Item")</f>
        <v>Silver</v>
      </c>
      <c r="O29" s="14">
        <f t="shared" si="0"/>
        <v>320</v>
      </c>
      <c r="P29" s="14">
        <f t="shared" si="1"/>
        <v>580</v>
      </c>
      <c r="Q29" s="1">
        <f t="shared" si="2"/>
        <v>2</v>
      </c>
      <c r="R29" s="1" t="str">
        <f t="shared" si="3"/>
        <v>On Time</v>
      </c>
      <c r="S29" s="1" t="b">
        <f t="shared" si="4"/>
        <v>1</v>
      </c>
    </row>
    <row r="30" spans="1:19" x14ac:dyDescent="0.3">
      <c r="A30" s="2" t="s">
        <v>46</v>
      </c>
      <c r="B30" s="3">
        <v>45319</v>
      </c>
      <c r="C30" s="2" t="s">
        <v>23</v>
      </c>
      <c r="D30" s="2" t="s">
        <v>33</v>
      </c>
      <c r="E30" s="2">
        <v>1</v>
      </c>
      <c r="F30" s="3">
        <v>45324</v>
      </c>
      <c r="G30" s="2" t="s">
        <v>11</v>
      </c>
      <c r="H30" s="2"/>
      <c r="I30" s="1" t="str">
        <f>VLOOKUP(D30,Product_Master!$A$1:$F$8,2,FALSE)</f>
        <v>Smart LED Lamp</v>
      </c>
      <c r="J30" s="1" t="str">
        <f>VLOOKUP(D30,Product_Master!$A$1:$F$8,3,FALSE)</f>
        <v>Home Decor</v>
      </c>
      <c r="K30" s="1">
        <f>VLOOKUP(D30:D74,Product_Master!$A$1:$F$8,4,FALSE)</f>
        <v>15</v>
      </c>
      <c r="L30" s="14">
        <f>VLOOKUP(D30:D74,Product_Master!$A$1:$F$8,5,FALSE)</f>
        <v>45</v>
      </c>
      <c r="M30" s="1" t="str">
        <f>IFERROR(VLOOKUP(C30:C74,Customer_database!$A$1:$F$11,5,FALSE),"Unknown Item")</f>
        <v>Dwight Schrute</v>
      </c>
      <c r="N30" s="1" t="str">
        <f>IFERROR(VLOOKUP(C30:C74,Customer_database!$A$1:$F$11,4,FALSE),"Unknown Item")</f>
        <v>Silver</v>
      </c>
      <c r="O30" s="14">
        <f t="shared" si="0"/>
        <v>15</v>
      </c>
      <c r="P30" s="14">
        <f t="shared" si="1"/>
        <v>30</v>
      </c>
      <c r="Q30" s="1">
        <f t="shared" si="2"/>
        <v>5</v>
      </c>
      <c r="R30" s="1" t="str">
        <f t="shared" si="3"/>
        <v>On Time</v>
      </c>
      <c r="S30" s="1" t="b">
        <f t="shared" si="4"/>
        <v>0</v>
      </c>
    </row>
    <row r="31" spans="1:19" x14ac:dyDescent="0.3">
      <c r="A31" s="2" t="s">
        <v>47</v>
      </c>
      <c r="B31" s="3">
        <v>45321</v>
      </c>
      <c r="C31" s="2" t="s">
        <v>9</v>
      </c>
      <c r="D31" s="2" t="s">
        <v>19</v>
      </c>
      <c r="E31" s="2">
        <v>5</v>
      </c>
      <c r="F31" s="3">
        <v>45323</v>
      </c>
      <c r="G31" s="2" t="s">
        <v>11</v>
      </c>
      <c r="H31" s="2" t="s">
        <v>26</v>
      </c>
      <c r="I31" s="1" t="str">
        <f>VLOOKUP(D31,Product_Master!$A$1:$F$8,2,FALSE)</f>
        <v>Mech Keyboard RGB</v>
      </c>
      <c r="J31" s="1" t="str">
        <f>VLOOKUP(D31,Product_Master!$A$1:$F$8,3,FALSE)</f>
        <v>Electronics</v>
      </c>
      <c r="K31" s="1">
        <f>VLOOKUP(D31:D75,Product_Master!$A$1:$F$8,4,FALSE)</f>
        <v>45</v>
      </c>
      <c r="L31" s="14">
        <f>VLOOKUP(D31:D75,Product_Master!$A$1:$F$8,5,FALSE)</f>
        <v>129.99</v>
      </c>
      <c r="M31" s="1" t="str">
        <f>IFERROR(VLOOKUP(C31:C75,Customer_database!$A$1:$F$11,5,FALSE),"Unknown Item")</f>
        <v>John Smith</v>
      </c>
      <c r="N31" s="1" t="str">
        <f>IFERROR(VLOOKUP(C31:C75,Customer_database!$A$1:$F$11,4,FALSE),"Unknown Item")</f>
        <v>Gold</v>
      </c>
      <c r="O31" s="14">
        <f t="shared" si="0"/>
        <v>225</v>
      </c>
      <c r="P31" s="14">
        <f t="shared" si="1"/>
        <v>424.95000000000005</v>
      </c>
      <c r="Q31" s="1">
        <f t="shared" si="2"/>
        <v>2</v>
      </c>
      <c r="R31" s="1" t="str">
        <f t="shared" si="3"/>
        <v>On Time</v>
      </c>
      <c r="S31" s="1" t="b">
        <f t="shared" si="4"/>
        <v>1</v>
      </c>
    </row>
    <row r="32" spans="1:19" x14ac:dyDescent="0.3">
      <c r="A32" s="2" t="s">
        <v>8</v>
      </c>
      <c r="B32" s="3">
        <v>45294</v>
      </c>
      <c r="C32" s="2" t="s">
        <v>9</v>
      </c>
      <c r="D32" s="2" t="s">
        <v>10</v>
      </c>
      <c r="E32" s="2">
        <v>5</v>
      </c>
      <c r="F32" s="3">
        <v>45296</v>
      </c>
      <c r="G32" s="2" t="s">
        <v>11</v>
      </c>
      <c r="H32" s="2" t="s">
        <v>12</v>
      </c>
      <c r="I32" s="1" t="str">
        <f>VLOOKUP(D32,Product_Master!$A$1:$F$8,2,FALSE)</f>
        <v>Wireless Mouse X1</v>
      </c>
      <c r="J32" s="1" t="str">
        <f>VLOOKUP(D32,Product_Master!$A$1:$F$8,3,FALSE)</f>
        <v>Electronics</v>
      </c>
      <c r="K32" s="1">
        <f>VLOOKUP(D32:D76,Product_Master!$A$1:$F$8,4,FALSE)</f>
        <v>12.5</v>
      </c>
      <c r="L32" s="14">
        <f>VLOOKUP(D32:D76,Product_Master!$A$1:$F$8,5,FALSE)</f>
        <v>39.99</v>
      </c>
      <c r="M32" s="1" t="str">
        <f>IFERROR(VLOOKUP(C32:C76,Customer_database!$A$1:$F$11,5,FALSE),"Unknown Item")</f>
        <v>John Smith</v>
      </c>
      <c r="N32" s="1" t="str">
        <f>IFERROR(VLOOKUP(C32:C76,Customer_database!$A$1:$F$11,4,FALSE),"Unknown Item")</f>
        <v>Gold</v>
      </c>
      <c r="O32" s="14">
        <f t="shared" si="0"/>
        <v>62.5</v>
      </c>
      <c r="P32" s="14">
        <f t="shared" si="1"/>
        <v>137.45000000000002</v>
      </c>
      <c r="Q32" s="1">
        <f t="shared" si="2"/>
        <v>2</v>
      </c>
      <c r="R32" s="1" t="str">
        <f t="shared" si="3"/>
        <v>On Time</v>
      </c>
      <c r="S32" s="1" t="b">
        <f t="shared" si="4"/>
        <v>1</v>
      </c>
    </row>
    <row r="33" spans="1:19" x14ac:dyDescent="0.3">
      <c r="A33" s="2" t="s">
        <v>13</v>
      </c>
      <c r="B33" s="3">
        <v>45295</v>
      </c>
      <c r="C33" s="2" t="s">
        <v>14</v>
      </c>
      <c r="D33" s="2" t="s">
        <v>15</v>
      </c>
      <c r="E33" s="2">
        <v>1</v>
      </c>
      <c r="F33" s="3">
        <v>45299</v>
      </c>
      <c r="G33" s="2" t="s">
        <v>16</v>
      </c>
      <c r="H33" s="2"/>
      <c r="I33" s="1" t="str">
        <f>VLOOKUP(D33,Product_Master!$A$1:$F$8,2,FALSE)</f>
        <v>Ergo Office Chair</v>
      </c>
      <c r="J33" s="1" t="str">
        <f>VLOOKUP(D33,Product_Master!$A$1:$F$8,3,FALSE)</f>
        <v>Furniture</v>
      </c>
      <c r="K33" s="1">
        <f>VLOOKUP(D33:D77,Product_Master!$A$1:$F$8,4,FALSE)</f>
        <v>85</v>
      </c>
      <c r="L33" s="14">
        <f>VLOOKUP(D33:D77,Product_Master!$A$1:$F$8,5,FALSE)</f>
        <v>249.99</v>
      </c>
      <c r="M33" s="1" t="str">
        <f>IFERROR(VLOOKUP(C33:C77,Customer_database!$A$1:$F$11,5,FALSE),"Unknown Item")</f>
        <v>Emily Blunt</v>
      </c>
      <c r="N33" s="1" t="str">
        <f>IFERROR(VLOOKUP(C33:C77,Customer_database!$A$1:$F$11,4,FALSE),"Unknown Item")</f>
        <v>Bronze</v>
      </c>
      <c r="O33" s="14">
        <f t="shared" si="0"/>
        <v>85</v>
      </c>
      <c r="P33" s="14">
        <f t="shared" si="1"/>
        <v>164.99</v>
      </c>
      <c r="Q33" s="1">
        <f t="shared" si="2"/>
        <v>4</v>
      </c>
      <c r="R33" s="1" t="str">
        <f t="shared" si="3"/>
        <v>On Time</v>
      </c>
      <c r="S33" s="1" t="b">
        <f t="shared" si="4"/>
        <v>0</v>
      </c>
    </row>
    <row r="34" spans="1:19" x14ac:dyDescent="0.3">
      <c r="A34" s="2" t="s">
        <v>17</v>
      </c>
      <c r="B34" s="3">
        <v>45297</v>
      </c>
      <c r="C34" s="2" t="s">
        <v>18</v>
      </c>
      <c r="D34" s="2" t="s">
        <v>19</v>
      </c>
      <c r="E34" s="2">
        <v>10</v>
      </c>
      <c r="F34" s="3">
        <v>45305</v>
      </c>
      <c r="G34" s="2" t="s">
        <v>20</v>
      </c>
      <c r="H34" s="2" t="s">
        <v>21</v>
      </c>
      <c r="I34" s="1" t="str">
        <f>VLOOKUP(D34,Product_Master!$A$1:$F$8,2,FALSE)</f>
        <v>Mech Keyboard RGB</v>
      </c>
      <c r="J34" s="1" t="str">
        <f>VLOOKUP(D34,Product_Master!$A$1:$F$8,3,FALSE)</f>
        <v>Electronics</v>
      </c>
      <c r="K34" s="1">
        <f>VLOOKUP(D34:D78,Product_Master!$A$1:$F$8,4,FALSE)</f>
        <v>45</v>
      </c>
      <c r="L34" s="14">
        <f>VLOOKUP(D34:D78,Product_Master!$A$1:$F$8,5,FALSE)</f>
        <v>129.99</v>
      </c>
      <c r="M34" s="1" t="str">
        <f>IFERROR(VLOOKUP(C34:C78,Customer_database!$A$1:$F$11,5,FALSE),"Unknown Item")</f>
        <v>Sarah Connor</v>
      </c>
      <c r="N34" s="1" t="str">
        <f>IFERROR(VLOOKUP(C34:C78,Customer_database!$A$1:$F$11,4,FALSE),"Unknown Item")</f>
        <v>Silver</v>
      </c>
      <c r="O34" s="14">
        <f t="shared" si="0"/>
        <v>450</v>
      </c>
      <c r="P34" s="14">
        <f t="shared" si="1"/>
        <v>849.90000000000009</v>
      </c>
      <c r="Q34" s="1">
        <f t="shared" si="2"/>
        <v>8</v>
      </c>
      <c r="R34" s="1" t="str">
        <f t="shared" si="3"/>
        <v>Late</v>
      </c>
      <c r="S34" s="1" t="b">
        <f t="shared" si="4"/>
        <v>0</v>
      </c>
    </row>
    <row r="35" spans="1:19" x14ac:dyDescent="0.3">
      <c r="A35" s="2" t="s">
        <v>22</v>
      </c>
      <c r="B35" s="3">
        <v>45299</v>
      </c>
      <c r="C35" s="2" t="s">
        <v>23</v>
      </c>
      <c r="D35" s="2" t="s">
        <v>24</v>
      </c>
      <c r="E35" s="2">
        <v>2</v>
      </c>
      <c r="F35" s="3">
        <v>45300</v>
      </c>
      <c r="G35" s="2" t="s">
        <v>11</v>
      </c>
      <c r="H35" s="2"/>
      <c r="I35" s="1" t="str">
        <f>VLOOKUP(D35,Product_Master!$A$1:$F$8,2,FALSE)</f>
        <v>Dual Monitor Arm</v>
      </c>
      <c r="J35" s="1" t="str">
        <f>VLOOKUP(D35,Product_Master!$A$1:$F$8,3,FALSE)</f>
        <v>Electronics</v>
      </c>
      <c r="K35" s="1">
        <f>VLOOKUP(D35:D79,Product_Master!$A$1:$F$8,4,FALSE)</f>
        <v>25</v>
      </c>
      <c r="L35" s="14">
        <f>VLOOKUP(D35:D79,Product_Master!$A$1:$F$8,5,FALSE)</f>
        <v>75</v>
      </c>
      <c r="M35" s="1" t="str">
        <f>IFERROR(VLOOKUP(C35:C79,Customer_database!$A$1:$F$11,5,FALSE),"Unknown Item")</f>
        <v>Dwight Schrute</v>
      </c>
      <c r="N35" s="1" t="str">
        <f>IFERROR(VLOOKUP(C35:C79,Customer_database!$A$1:$F$11,4,FALSE),"Unknown Item")</f>
        <v>Silver</v>
      </c>
      <c r="O35" s="14">
        <f t="shared" si="0"/>
        <v>50</v>
      </c>
      <c r="P35" s="14">
        <f t="shared" si="1"/>
        <v>100</v>
      </c>
      <c r="Q35" s="1">
        <f t="shared" si="2"/>
        <v>1</v>
      </c>
      <c r="R35" s="1" t="str">
        <f t="shared" si="3"/>
        <v>On Time</v>
      </c>
      <c r="S35" s="1" t="b">
        <f t="shared" si="4"/>
        <v>0</v>
      </c>
    </row>
    <row r="36" spans="1:19" x14ac:dyDescent="0.3">
      <c r="A36" s="2" t="s">
        <v>25</v>
      </c>
      <c r="B36" s="3">
        <v>45301</v>
      </c>
      <c r="C36" s="2" t="s">
        <v>9</v>
      </c>
      <c r="D36" s="2" t="s">
        <v>10</v>
      </c>
      <c r="E36" s="2">
        <v>1</v>
      </c>
      <c r="F36" s="3">
        <v>45303</v>
      </c>
      <c r="G36" s="2" t="s">
        <v>11</v>
      </c>
      <c r="H36" s="2" t="s">
        <v>26</v>
      </c>
      <c r="I36" s="1" t="str">
        <f>VLOOKUP(D36,Product_Master!$A$1:$F$8,2,FALSE)</f>
        <v>Wireless Mouse X1</v>
      </c>
      <c r="J36" s="1" t="str">
        <f>VLOOKUP(D36,Product_Master!$A$1:$F$8,3,FALSE)</f>
        <v>Electronics</v>
      </c>
      <c r="K36" s="1">
        <f>VLOOKUP(D36:D80,Product_Master!$A$1:$F$8,4,FALSE)</f>
        <v>12.5</v>
      </c>
      <c r="L36" s="14">
        <f>VLOOKUP(D36:D80,Product_Master!$A$1:$F$8,5,FALSE)</f>
        <v>39.99</v>
      </c>
      <c r="M36" s="1" t="str">
        <f>IFERROR(VLOOKUP(C36:C80,Customer_database!$A$1:$F$11,5,FALSE),"Unknown Item")</f>
        <v>John Smith</v>
      </c>
      <c r="N36" s="1" t="str">
        <f>IFERROR(VLOOKUP(C36:C80,Customer_database!$A$1:$F$11,4,FALSE),"Unknown Item")</f>
        <v>Gold</v>
      </c>
      <c r="O36" s="14">
        <f t="shared" si="0"/>
        <v>12.5</v>
      </c>
      <c r="P36" s="14">
        <f t="shared" si="1"/>
        <v>27.490000000000002</v>
      </c>
      <c r="Q36" s="1">
        <f t="shared" si="2"/>
        <v>2</v>
      </c>
      <c r="R36" s="1" t="str">
        <f t="shared" si="3"/>
        <v>On Time</v>
      </c>
      <c r="S36" s="1" t="b">
        <f t="shared" si="4"/>
        <v>1</v>
      </c>
    </row>
    <row r="37" spans="1:19" x14ac:dyDescent="0.3">
      <c r="A37" s="2" t="s">
        <v>27</v>
      </c>
      <c r="B37" s="3">
        <v>45303</v>
      </c>
      <c r="C37" s="2" t="s">
        <v>28</v>
      </c>
      <c r="D37" s="2" t="s">
        <v>29</v>
      </c>
      <c r="E37" s="2">
        <v>3</v>
      </c>
      <c r="F37" s="3">
        <v>45310</v>
      </c>
      <c r="G37" s="2" t="s">
        <v>30</v>
      </c>
      <c r="H37" s="2" t="s">
        <v>12</v>
      </c>
      <c r="I37" s="1" t="str">
        <f>VLOOKUP(D37,Product_Master!$A$1:$F$8,2,FALSE)</f>
        <v>Oak Standing Desk</v>
      </c>
      <c r="J37" s="1" t="str">
        <f>VLOOKUP(D37,Product_Master!$A$1:$F$8,3,FALSE)</f>
        <v>Furniture</v>
      </c>
      <c r="K37" s="1">
        <f>VLOOKUP(D37:D81,Product_Master!$A$1:$F$8,4,FALSE)</f>
        <v>160</v>
      </c>
      <c r="L37" s="14">
        <f>VLOOKUP(D37:D81,Product_Master!$A$1:$F$8,5,FALSE)</f>
        <v>450</v>
      </c>
      <c r="M37" s="1" t="str">
        <f>IFERROR(VLOOKUP(C37:C81,Customer_database!$A$1:$F$11,5,FALSE),"Unknown Item")</f>
        <v>Michael Scott</v>
      </c>
      <c r="N37" s="1" t="str">
        <f>IFERROR(VLOOKUP(C37:C81,Customer_database!$A$1:$F$11,4,FALSE),"Unknown Item")</f>
        <v>Gold</v>
      </c>
      <c r="O37" s="14">
        <f t="shared" si="0"/>
        <v>480</v>
      </c>
      <c r="P37" s="14">
        <f t="shared" si="1"/>
        <v>870</v>
      </c>
      <c r="Q37" s="1">
        <f t="shared" si="2"/>
        <v>7</v>
      </c>
      <c r="R37" s="1" t="str">
        <f t="shared" si="3"/>
        <v>Late</v>
      </c>
      <c r="S37" s="1" t="b">
        <f t="shared" si="4"/>
        <v>1</v>
      </c>
    </row>
    <row r="38" spans="1:19" x14ac:dyDescent="0.3">
      <c r="A38" s="2" t="s">
        <v>31</v>
      </c>
      <c r="B38" s="3">
        <v>45306</v>
      </c>
      <c r="C38" s="2" t="s">
        <v>32</v>
      </c>
      <c r="D38" s="2" t="s">
        <v>33</v>
      </c>
      <c r="E38" s="2">
        <v>4</v>
      </c>
      <c r="F38" s="3">
        <v>45313</v>
      </c>
      <c r="G38" s="2" t="s">
        <v>16</v>
      </c>
      <c r="H38" s="2"/>
      <c r="I38" s="1" t="str">
        <f>VLOOKUP(D38,Product_Master!$A$1:$F$8,2,FALSE)</f>
        <v>Smart LED Lamp</v>
      </c>
      <c r="J38" s="1" t="str">
        <f>VLOOKUP(D38,Product_Master!$A$1:$F$8,3,FALSE)</f>
        <v>Home Decor</v>
      </c>
      <c r="K38" s="1">
        <f>VLOOKUP(D38:D82,Product_Master!$A$1:$F$8,4,FALSE)</f>
        <v>15</v>
      </c>
      <c r="L38" s="14">
        <f>VLOOKUP(D38:D82,Product_Master!$A$1:$F$8,5,FALSE)</f>
        <v>45</v>
      </c>
      <c r="M38" s="1" t="str">
        <f>IFERROR(VLOOKUP(C38:C82,Customer_database!$A$1:$F$11,5,FALSE),"Unknown Item")</f>
        <v>Jim Halpert</v>
      </c>
      <c r="N38" s="1" t="str">
        <f>IFERROR(VLOOKUP(C38:C82,Customer_database!$A$1:$F$11,4,FALSE),"Unknown Item")</f>
        <v>Bronze</v>
      </c>
      <c r="O38" s="14">
        <f t="shared" si="0"/>
        <v>60</v>
      </c>
      <c r="P38" s="14">
        <f t="shared" si="1"/>
        <v>120</v>
      </c>
      <c r="Q38" s="1">
        <f t="shared" si="2"/>
        <v>7</v>
      </c>
      <c r="R38" s="1" t="str">
        <f t="shared" si="3"/>
        <v>Late</v>
      </c>
      <c r="S38" s="1" t="b">
        <f t="shared" si="4"/>
        <v>0</v>
      </c>
    </row>
    <row r="39" spans="1:19" x14ac:dyDescent="0.3">
      <c r="A39" s="2" t="s">
        <v>34</v>
      </c>
      <c r="B39" s="3">
        <v>45307</v>
      </c>
      <c r="C39" s="2" t="s">
        <v>18</v>
      </c>
      <c r="D39" s="2" t="s">
        <v>19</v>
      </c>
      <c r="E39" s="2">
        <v>6</v>
      </c>
      <c r="F39" s="3">
        <v>45309</v>
      </c>
      <c r="G39" s="2" t="s">
        <v>20</v>
      </c>
      <c r="H39" s="2"/>
      <c r="I39" s="1" t="str">
        <f>VLOOKUP(D39,Product_Master!$A$1:$F$8,2,FALSE)</f>
        <v>Mech Keyboard RGB</v>
      </c>
      <c r="J39" s="1" t="str">
        <f>VLOOKUP(D39,Product_Master!$A$1:$F$8,3,FALSE)</f>
        <v>Electronics</v>
      </c>
      <c r="K39" s="1">
        <f>VLOOKUP(D39:D83,Product_Master!$A$1:$F$8,4,FALSE)</f>
        <v>45</v>
      </c>
      <c r="L39" s="14">
        <f>VLOOKUP(D39:D83,Product_Master!$A$1:$F$8,5,FALSE)</f>
        <v>129.99</v>
      </c>
      <c r="M39" s="1" t="str">
        <f>IFERROR(VLOOKUP(C39:C83,Customer_database!$A$1:$F$11,5,FALSE),"Unknown Item")</f>
        <v>Sarah Connor</v>
      </c>
      <c r="N39" s="1" t="str">
        <f>IFERROR(VLOOKUP(C39:C83,Customer_database!$A$1:$F$11,4,FALSE),"Unknown Item")</f>
        <v>Silver</v>
      </c>
      <c r="O39" s="14">
        <f t="shared" si="0"/>
        <v>270</v>
      </c>
      <c r="P39" s="14">
        <f t="shared" si="1"/>
        <v>509.94000000000005</v>
      </c>
      <c r="Q39" s="1">
        <f t="shared" si="2"/>
        <v>2</v>
      </c>
      <c r="R39" s="1" t="str">
        <f t="shared" si="3"/>
        <v>On Time</v>
      </c>
      <c r="S39" s="1" t="b">
        <f t="shared" si="4"/>
        <v>0</v>
      </c>
    </row>
    <row r="40" spans="1:19" x14ac:dyDescent="0.3">
      <c r="A40" s="2" t="s">
        <v>35</v>
      </c>
      <c r="B40" s="3">
        <v>45309</v>
      </c>
      <c r="C40" s="2" t="s">
        <v>36</v>
      </c>
      <c r="D40" s="2" t="s">
        <v>15</v>
      </c>
      <c r="E40" s="2">
        <v>2</v>
      </c>
      <c r="F40" s="3">
        <v>45320</v>
      </c>
      <c r="G40" s="2" t="s">
        <v>30</v>
      </c>
      <c r="H40" s="2" t="s">
        <v>37</v>
      </c>
      <c r="I40" s="1" t="str">
        <f>VLOOKUP(D40,Product_Master!$A$1:$F$8,2,FALSE)</f>
        <v>Ergo Office Chair</v>
      </c>
      <c r="J40" s="1" t="str">
        <f>VLOOKUP(D40,Product_Master!$A$1:$F$8,3,FALSE)</f>
        <v>Furniture</v>
      </c>
      <c r="K40" s="1">
        <f>VLOOKUP(D40:D84,Product_Master!$A$1:$F$8,4,FALSE)</f>
        <v>85</v>
      </c>
      <c r="L40" s="14">
        <f>VLOOKUP(D40:D84,Product_Master!$A$1:$F$8,5,FALSE)</f>
        <v>249.99</v>
      </c>
      <c r="M40" s="1" t="str">
        <f>IFERROR(VLOOKUP(C40:C84,Customer_database!$A$1:$F$11,5,FALSE),"Unknown Item")</f>
        <v>Ryan Howard</v>
      </c>
      <c r="N40" s="1" t="str">
        <f>IFERROR(VLOOKUP(C40:C84,Customer_database!$A$1:$F$11,4,FALSE),"Unknown Item")</f>
        <v>Bronze</v>
      </c>
      <c r="O40" s="14">
        <f t="shared" si="0"/>
        <v>170</v>
      </c>
      <c r="P40" s="14">
        <f t="shared" si="1"/>
        <v>329.98</v>
      </c>
      <c r="Q40" s="1">
        <f t="shared" si="2"/>
        <v>11</v>
      </c>
      <c r="R40" s="1" t="str">
        <f t="shared" si="3"/>
        <v>Late</v>
      </c>
      <c r="S40" s="1" t="b">
        <f t="shared" si="4"/>
        <v>0</v>
      </c>
    </row>
    <row r="41" spans="1:19" x14ac:dyDescent="0.3">
      <c r="A41" s="2" t="s">
        <v>38</v>
      </c>
      <c r="B41" s="3">
        <v>45311</v>
      </c>
      <c r="C41" s="2" t="s">
        <v>14</v>
      </c>
      <c r="D41" s="2" t="s">
        <v>24</v>
      </c>
      <c r="E41" s="2">
        <v>1</v>
      </c>
      <c r="F41" s="3">
        <v>45312</v>
      </c>
      <c r="G41" s="2" t="s">
        <v>16</v>
      </c>
      <c r="H41" s="2"/>
      <c r="I41" s="1" t="str">
        <f>VLOOKUP(D41,Product_Master!$A$1:$F$8,2,FALSE)</f>
        <v>Dual Monitor Arm</v>
      </c>
      <c r="J41" s="1" t="str">
        <f>VLOOKUP(D41,Product_Master!$A$1:$F$8,3,FALSE)</f>
        <v>Electronics</v>
      </c>
      <c r="K41" s="1">
        <f>VLOOKUP(D41:D85,Product_Master!$A$1:$F$8,4,FALSE)</f>
        <v>25</v>
      </c>
      <c r="L41" s="14">
        <f>VLOOKUP(D41:D85,Product_Master!$A$1:$F$8,5,FALSE)</f>
        <v>75</v>
      </c>
      <c r="M41" s="1" t="str">
        <f>IFERROR(VLOOKUP(C41:C85,Customer_database!$A$1:$F$11,5,FALSE),"Unknown Item")</f>
        <v>Emily Blunt</v>
      </c>
      <c r="N41" s="1" t="str">
        <f>IFERROR(VLOOKUP(C41:C85,Customer_database!$A$1:$F$11,4,FALSE),"Unknown Item")</f>
        <v>Bronze</v>
      </c>
      <c r="O41" s="14">
        <f t="shared" si="0"/>
        <v>25</v>
      </c>
      <c r="P41" s="14">
        <f t="shared" si="1"/>
        <v>50</v>
      </c>
      <c r="Q41" s="1">
        <f t="shared" si="2"/>
        <v>1</v>
      </c>
      <c r="R41" s="1" t="str">
        <f t="shared" si="3"/>
        <v>On Time</v>
      </c>
      <c r="S41" s="1" t="b">
        <f t="shared" si="4"/>
        <v>0</v>
      </c>
    </row>
    <row r="42" spans="1:19" x14ac:dyDescent="0.3">
      <c r="A42" s="2" t="s">
        <v>39</v>
      </c>
      <c r="B42" s="3">
        <v>45313</v>
      </c>
      <c r="C42" s="2" t="s">
        <v>40</v>
      </c>
      <c r="D42" s="2" t="s">
        <v>10</v>
      </c>
      <c r="E42" s="2">
        <v>20</v>
      </c>
      <c r="F42" s="3">
        <v>45314</v>
      </c>
      <c r="G42" s="2" t="s">
        <v>11</v>
      </c>
      <c r="H42" s="2" t="s">
        <v>41</v>
      </c>
      <c r="I42" s="1" t="str">
        <f>VLOOKUP(D42,Product_Master!$A$1:$F$8,2,FALSE)</f>
        <v>Wireless Mouse X1</v>
      </c>
      <c r="J42" s="1" t="str">
        <f>VLOOKUP(D42,Product_Master!$A$1:$F$8,3,FALSE)</f>
        <v>Electronics</v>
      </c>
      <c r="K42" s="1">
        <f>VLOOKUP(D42:D86,Product_Master!$A$1:$F$8,4,FALSE)</f>
        <v>12.5</v>
      </c>
      <c r="L42" s="14">
        <f>VLOOKUP(D42:D86,Product_Master!$A$1:$F$8,5,FALSE)</f>
        <v>39.99</v>
      </c>
      <c r="M42" s="1" t="str">
        <f>IFERROR(VLOOKUP(C42:C86,Customer_database!$A$1:$F$11,5,FALSE),"Unknown Item")</f>
        <v>Creed Bratton</v>
      </c>
      <c r="N42" s="1" t="str">
        <f>IFERROR(VLOOKUP(C42:C86,Customer_database!$A$1:$F$11,4,FALSE),"Unknown Item")</f>
        <v>Gold</v>
      </c>
      <c r="O42" s="14">
        <f t="shared" si="0"/>
        <v>250</v>
      </c>
      <c r="P42" s="14">
        <f t="shared" si="1"/>
        <v>549.80000000000007</v>
      </c>
      <c r="Q42" s="1">
        <f t="shared" si="2"/>
        <v>1</v>
      </c>
      <c r="R42" s="1" t="str">
        <f t="shared" si="3"/>
        <v>On Time</v>
      </c>
      <c r="S42" s="1" t="b">
        <f t="shared" si="4"/>
        <v>0</v>
      </c>
    </row>
    <row r="43" spans="1:19" x14ac:dyDescent="0.3">
      <c r="A43" s="2" t="s">
        <v>42</v>
      </c>
      <c r="B43" s="3">
        <v>45316</v>
      </c>
      <c r="C43" s="2" t="s">
        <v>43</v>
      </c>
      <c r="D43" s="2" t="s">
        <v>15</v>
      </c>
      <c r="E43" s="2">
        <v>3</v>
      </c>
      <c r="F43" s="3">
        <v>45327</v>
      </c>
      <c r="G43" s="2" t="s">
        <v>20</v>
      </c>
      <c r="H43" s="2"/>
      <c r="I43" s="1" t="str">
        <f>VLOOKUP(D43,Product_Master!$A$1:$F$8,2,FALSE)</f>
        <v>Ergo Office Chair</v>
      </c>
      <c r="J43" s="1" t="str">
        <f>VLOOKUP(D43,Product_Master!$A$1:$F$8,3,FALSE)</f>
        <v>Furniture</v>
      </c>
      <c r="K43" s="1">
        <f>VLOOKUP(D43:D87,Product_Master!$A$1:$F$8,4,FALSE)</f>
        <v>85</v>
      </c>
      <c r="L43" s="14">
        <f>VLOOKUP(D43:D87,Product_Master!$A$1:$F$8,5,FALSE)</f>
        <v>249.99</v>
      </c>
      <c r="M43" s="1" t="str">
        <f>IFERROR(VLOOKUP(C43:C87,Customer_database!$A$1:$F$11,5,FALSE),"Unknown Item")</f>
        <v>Pam Beesly</v>
      </c>
      <c r="N43" s="1" t="str">
        <f>IFERROR(VLOOKUP(C43:C87,Customer_database!$A$1:$F$11,4,FALSE),"Unknown Item")</f>
        <v>Silver</v>
      </c>
      <c r="O43" s="14">
        <f t="shared" si="0"/>
        <v>255</v>
      </c>
      <c r="P43" s="14">
        <f t="shared" si="1"/>
        <v>494.97</v>
      </c>
      <c r="Q43" s="1">
        <f t="shared" si="2"/>
        <v>11</v>
      </c>
      <c r="R43" s="1" t="str">
        <f t="shared" si="3"/>
        <v>Late</v>
      </c>
      <c r="S43" s="1" t="b">
        <f t="shared" si="4"/>
        <v>0</v>
      </c>
    </row>
    <row r="44" spans="1:19" x14ac:dyDescent="0.3">
      <c r="A44" s="2" t="s">
        <v>44</v>
      </c>
      <c r="B44" s="3">
        <v>45317</v>
      </c>
      <c r="C44" s="2" t="s">
        <v>45</v>
      </c>
      <c r="D44" s="2" t="s">
        <v>29</v>
      </c>
      <c r="E44" s="2">
        <v>2</v>
      </c>
      <c r="F44" s="3">
        <v>45319</v>
      </c>
      <c r="G44" s="2" t="s">
        <v>30</v>
      </c>
      <c r="H44" s="2" t="s">
        <v>12</v>
      </c>
      <c r="I44" s="1" t="str">
        <f>VLOOKUP(D44,Product_Master!$A$1:$F$8,2,FALSE)</f>
        <v>Oak Standing Desk</v>
      </c>
      <c r="J44" s="1" t="str">
        <f>VLOOKUP(D44,Product_Master!$A$1:$F$8,3,FALSE)</f>
        <v>Furniture</v>
      </c>
      <c r="K44" s="1">
        <f>VLOOKUP(D44:D88,Product_Master!$A$1:$F$8,4,FALSE)</f>
        <v>160</v>
      </c>
      <c r="L44" s="14">
        <f>VLOOKUP(D44:D88,Product_Master!$A$1:$F$8,5,FALSE)</f>
        <v>450</v>
      </c>
      <c r="M44" s="1" t="str">
        <f>IFERROR(VLOOKUP(C44:C88,Customer_database!$A$1:$F$11,5,FALSE),"Unknown Item")</f>
        <v>Stanley Hudson</v>
      </c>
      <c r="N44" s="1" t="str">
        <f>IFERROR(VLOOKUP(C44:C88,Customer_database!$A$1:$F$11,4,FALSE),"Unknown Item")</f>
        <v>Silver</v>
      </c>
      <c r="O44" s="14">
        <f t="shared" si="0"/>
        <v>320</v>
      </c>
      <c r="P44" s="14">
        <f t="shared" si="1"/>
        <v>580</v>
      </c>
      <c r="Q44" s="1">
        <f t="shared" si="2"/>
        <v>2</v>
      </c>
      <c r="R44" s="1" t="str">
        <f t="shared" si="3"/>
        <v>On Time</v>
      </c>
      <c r="S44" s="1" t="b">
        <f t="shared" si="4"/>
        <v>1</v>
      </c>
    </row>
    <row r="45" spans="1:19" x14ac:dyDescent="0.3">
      <c r="A45" s="2" t="s">
        <v>46</v>
      </c>
      <c r="B45" s="3">
        <v>45319</v>
      </c>
      <c r="C45" s="2" t="s">
        <v>23</v>
      </c>
      <c r="D45" s="2" t="s">
        <v>33</v>
      </c>
      <c r="E45" s="2">
        <v>1</v>
      </c>
      <c r="F45" s="3">
        <v>45324</v>
      </c>
      <c r="G45" s="2" t="s">
        <v>11</v>
      </c>
      <c r="H45" s="2"/>
      <c r="I45" s="1" t="str">
        <f>VLOOKUP(D45,Product_Master!$A$1:$F$8,2,FALSE)</f>
        <v>Smart LED Lamp</v>
      </c>
      <c r="J45" s="1" t="str">
        <f>VLOOKUP(D45,Product_Master!$A$1:$F$8,3,FALSE)</f>
        <v>Home Decor</v>
      </c>
      <c r="K45" s="1">
        <f>VLOOKUP(D45:D89,Product_Master!$A$1:$F$8,4,FALSE)</f>
        <v>15</v>
      </c>
      <c r="L45" s="14">
        <f>VLOOKUP(D45:D89,Product_Master!$A$1:$F$8,5,FALSE)</f>
        <v>45</v>
      </c>
      <c r="M45" s="1" t="str">
        <f>IFERROR(VLOOKUP(C45:C89,Customer_database!$A$1:$F$11,5,FALSE),"Unknown Item")</f>
        <v>Dwight Schrute</v>
      </c>
      <c r="N45" s="1" t="str">
        <f>IFERROR(VLOOKUP(C45:C89,Customer_database!$A$1:$F$11,4,FALSE),"Unknown Item")</f>
        <v>Silver</v>
      </c>
      <c r="O45" s="14">
        <f t="shared" si="0"/>
        <v>15</v>
      </c>
      <c r="P45" s="14">
        <f t="shared" si="1"/>
        <v>30</v>
      </c>
      <c r="Q45" s="1">
        <f t="shared" si="2"/>
        <v>5</v>
      </c>
      <c r="R45" s="1" t="str">
        <f t="shared" si="3"/>
        <v>On Time</v>
      </c>
      <c r="S45" s="1" t="b">
        <f t="shared" si="4"/>
        <v>0</v>
      </c>
    </row>
    <row r="46" spans="1:19" x14ac:dyDescent="0.3">
      <c r="A46" s="2" t="s">
        <v>47</v>
      </c>
      <c r="B46" s="3">
        <v>45321</v>
      </c>
      <c r="C46" s="2" t="s">
        <v>9</v>
      </c>
      <c r="D46" s="2" t="s">
        <v>19</v>
      </c>
      <c r="E46" s="2">
        <v>5</v>
      </c>
      <c r="F46" s="3">
        <v>45323</v>
      </c>
      <c r="G46" s="2" t="s">
        <v>11</v>
      </c>
      <c r="H46" s="2" t="s">
        <v>26</v>
      </c>
      <c r="I46" s="1" t="str">
        <f>VLOOKUP(D46,Product_Master!$A$1:$F$8,2,FALSE)</f>
        <v>Mech Keyboard RGB</v>
      </c>
      <c r="J46" s="1" t="str">
        <f>VLOOKUP(D46,Product_Master!$A$1:$F$8,3,FALSE)</f>
        <v>Electronics</v>
      </c>
      <c r="K46" s="1">
        <f>VLOOKUP(D46:D90,Product_Master!$A$1:$F$8,4,FALSE)</f>
        <v>45</v>
      </c>
      <c r="L46" s="14">
        <f>VLOOKUP(D46:D90,Product_Master!$A$1:$F$8,5,FALSE)</f>
        <v>129.99</v>
      </c>
      <c r="M46" s="1" t="str">
        <f>IFERROR(VLOOKUP(C46:C90,Customer_database!$A$1:$F$11,5,FALSE),"Unknown Item")</f>
        <v>John Smith</v>
      </c>
      <c r="N46" s="1" t="str">
        <f>IFERROR(VLOOKUP(C46:C90,Customer_database!$A$1:$F$11,4,FALSE),"Unknown Item")</f>
        <v>Gold</v>
      </c>
      <c r="O46" s="14">
        <f t="shared" si="0"/>
        <v>225</v>
      </c>
      <c r="P46" s="14">
        <f t="shared" si="1"/>
        <v>424.95000000000005</v>
      </c>
      <c r="Q46" s="1">
        <f t="shared" si="2"/>
        <v>2</v>
      </c>
      <c r="R46" s="1" t="str">
        <f t="shared" si="3"/>
        <v>On Time</v>
      </c>
      <c r="S46" s="1" t="b">
        <f t="shared" si="4"/>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19174-ADCB-4C47-8740-B0B1261D93FB}">
  <dimension ref="A1:D27"/>
  <sheetViews>
    <sheetView workbookViewId="0">
      <selection activeCell="B4" sqref="B4"/>
    </sheetView>
  </sheetViews>
  <sheetFormatPr defaultRowHeight="14.4" x14ac:dyDescent="0.3"/>
  <cols>
    <col min="1" max="1" width="18.88671875" bestFit="1" customWidth="1"/>
    <col min="2" max="2" width="18.77734375" bestFit="1" customWidth="1"/>
    <col min="3" max="3" width="8.77734375" bestFit="1" customWidth="1"/>
    <col min="4" max="4" width="12" bestFit="1" customWidth="1"/>
    <col min="5" max="5" width="6.109375" customWidth="1"/>
    <col min="6" max="6" width="12.77734375" bestFit="1" customWidth="1"/>
    <col min="7" max="18" width="17.6640625" bestFit="1" customWidth="1"/>
    <col min="19" max="19" width="12.77734375" bestFit="1" customWidth="1"/>
  </cols>
  <sheetData>
    <row r="1" spans="1:4" x14ac:dyDescent="0.3">
      <c r="A1" s="17" t="s">
        <v>111</v>
      </c>
      <c r="B1" s="17"/>
    </row>
    <row r="3" spans="1:4" x14ac:dyDescent="0.3">
      <c r="A3" s="7" t="s">
        <v>109</v>
      </c>
      <c r="B3" s="14" t="s">
        <v>108</v>
      </c>
      <c r="D3" t="s">
        <v>113</v>
      </c>
    </row>
    <row r="4" spans="1:4" x14ac:dyDescent="0.3">
      <c r="A4" s="8" t="s">
        <v>66</v>
      </c>
      <c r="B4" s="14">
        <v>450</v>
      </c>
      <c r="D4" s="18">
        <v>8190</v>
      </c>
    </row>
    <row r="5" spans="1:4" x14ac:dyDescent="0.3">
      <c r="A5" s="8" t="s">
        <v>58</v>
      </c>
      <c r="B5" s="14">
        <v>2969.8199999999997</v>
      </c>
    </row>
    <row r="6" spans="1:4" x14ac:dyDescent="0.3">
      <c r="A6" s="8" t="s">
        <v>56</v>
      </c>
      <c r="B6" s="14">
        <v>5354.3700000000017</v>
      </c>
    </row>
    <row r="7" spans="1:4" x14ac:dyDescent="0.3">
      <c r="A7" s="8" t="s">
        <v>61</v>
      </c>
      <c r="B7" s="14">
        <v>4350</v>
      </c>
      <c r="D7" t="s">
        <v>108</v>
      </c>
    </row>
    <row r="8" spans="1:4" x14ac:dyDescent="0.3">
      <c r="A8" s="8" t="s">
        <v>63</v>
      </c>
      <c r="B8" s="14">
        <v>450</v>
      </c>
      <c r="D8" s="18">
        <v>15718.409999999998</v>
      </c>
    </row>
    <row r="9" spans="1:4" x14ac:dyDescent="0.3">
      <c r="A9" s="8" t="s">
        <v>53</v>
      </c>
      <c r="B9" s="14">
        <v>2144.2200000000003</v>
      </c>
    </row>
    <row r="10" spans="1:4" x14ac:dyDescent="0.3">
      <c r="A10" s="8" t="s">
        <v>110</v>
      </c>
      <c r="B10" s="14">
        <v>15718.410000000003</v>
      </c>
      <c r="D10" t="s">
        <v>122</v>
      </c>
    </row>
    <row r="11" spans="1:4" x14ac:dyDescent="0.3">
      <c r="A11" s="17" t="s">
        <v>114</v>
      </c>
      <c r="B11" s="17"/>
      <c r="D11" s="9">
        <f>GETPIVOTDATA("Total Profit",$D$7)/GETPIVOTDATA("Total Revenew",$D$3)</f>
        <v>1.9192197802197799</v>
      </c>
    </row>
    <row r="13" spans="1:4" x14ac:dyDescent="0.3">
      <c r="A13" s="7" t="s">
        <v>109</v>
      </c>
      <c r="B13" s="1" t="s">
        <v>113</v>
      </c>
      <c r="D13" t="s">
        <v>123</v>
      </c>
    </row>
    <row r="14" spans="1:4" x14ac:dyDescent="0.3">
      <c r="A14" s="8" t="s">
        <v>82</v>
      </c>
      <c r="B14" s="14">
        <v>1020</v>
      </c>
      <c r="D14" s="9">
        <f>COUNTIF(Raw_orders!R2:R46,"On Time") / COUNTA(Raw_orders!R2:R46)</f>
        <v>0.66666666666666663</v>
      </c>
    </row>
    <row r="15" spans="1:4" x14ac:dyDescent="0.3">
      <c r="A15" s="8" t="s">
        <v>76</v>
      </c>
      <c r="B15" s="14">
        <v>3090</v>
      </c>
    </row>
    <row r="16" spans="1:4" x14ac:dyDescent="0.3">
      <c r="A16" s="8" t="s">
        <v>79</v>
      </c>
      <c r="B16" s="14">
        <v>4080</v>
      </c>
    </row>
    <row r="17" spans="1:4" x14ac:dyDescent="0.3">
      <c r="A17" s="8" t="s">
        <v>110</v>
      </c>
      <c r="B17" s="14">
        <v>8190</v>
      </c>
    </row>
    <row r="20" spans="1:4" x14ac:dyDescent="0.3">
      <c r="A20" s="17" t="s">
        <v>115</v>
      </c>
      <c r="B20" s="17"/>
    </row>
    <row r="21" spans="1:4" x14ac:dyDescent="0.3">
      <c r="A21" s="7" t="s">
        <v>112</v>
      </c>
      <c r="B21" s="7" t="s">
        <v>116</v>
      </c>
      <c r="C21" s="1"/>
      <c r="D21" s="1"/>
    </row>
    <row r="22" spans="1:4" x14ac:dyDescent="0.3">
      <c r="A22" s="7" t="s">
        <v>109</v>
      </c>
      <c r="B22" s="1" t="s">
        <v>120</v>
      </c>
      <c r="C22" s="1" t="s">
        <v>121</v>
      </c>
      <c r="D22" s="1" t="s">
        <v>110</v>
      </c>
    </row>
    <row r="23" spans="1:4" x14ac:dyDescent="0.3">
      <c r="A23" s="8" t="s">
        <v>20</v>
      </c>
      <c r="B23" s="1">
        <v>6</v>
      </c>
      <c r="C23" s="1">
        <v>3</v>
      </c>
      <c r="D23" s="1">
        <v>9</v>
      </c>
    </row>
    <row r="24" spans="1:4" x14ac:dyDescent="0.3">
      <c r="A24" s="8" t="s">
        <v>11</v>
      </c>
      <c r="B24" s="1"/>
      <c r="C24" s="1">
        <v>18</v>
      </c>
      <c r="D24" s="1">
        <v>18</v>
      </c>
    </row>
    <row r="25" spans="1:4" x14ac:dyDescent="0.3">
      <c r="A25" s="8" t="s">
        <v>30</v>
      </c>
      <c r="B25" s="1">
        <v>6</v>
      </c>
      <c r="C25" s="1">
        <v>3</v>
      </c>
      <c r="D25" s="1">
        <v>9</v>
      </c>
    </row>
    <row r="26" spans="1:4" x14ac:dyDescent="0.3">
      <c r="A26" s="8" t="s">
        <v>16</v>
      </c>
      <c r="B26" s="1">
        <v>3</v>
      </c>
      <c r="C26" s="1">
        <v>6</v>
      </c>
      <c r="D26" s="1">
        <v>9</v>
      </c>
    </row>
    <row r="27" spans="1:4" x14ac:dyDescent="0.3">
      <c r="A27" s="8" t="s">
        <v>110</v>
      </c>
      <c r="B27" s="1">
        <v>15</v>
      </c>
      <c r="C27" s="1">
        <v>30</v>
      </c>
      <c r="D27" s="1">
        <v>45</v>
      </c>
    </row>
  </sheetData>
  <mergeCells count="3">
    <mergeCell ref="A1:B1"/>
    <mergeCell ref="A11:B11"/>
    <mergeCell ref="A20:B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5FBB3-D57F-4D76-9744-7D8734D00579}">
  <dimension ref="A1:R26"/>
  <sheetViews>
    <sheetView showGridLines="0" tabSelected="1" zoomScale="120" zoomScaleNormal="120" workbookViewId="0">
      <selection activeCell="P24" sqref="P24"/>
    </sheetView>
  </sheetViews>
  <sheetFormatPr defaultRowHeight="14.4" x14ac:dyDescent="0.3"/>
  <cols>
    <col min="1" max="1" width="12.44140625" style="12" customWidth="1"/>
    <col min="2" max="2" width="19" style="12" customWidth="1"/>
    <col min="3" max="13" width="8.88671875" style="12"/>
    <col min="14" max="14" width="10.5546875" style="12" customWidth="1"/>
    <col min="15" max="15" width="1" style="12" customWidth="1"/>
    <col min="16" max="16" width="11.77734375" style="12" customWidth="1"/>
    <col min="17" max="17" width="8.88671875" style="12"/>
    <col min="18" max="18" width="9.77734375" style="12" customWidth="1"/>
    <col min="19" max="16384" width="8.88671875" style="12"/>
  </cols>
  <sheetData>
    <row r="1" spans="1:18" x14ac:dyDescent="0.3">
      <c r="A1" s="10"/>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row r="5" spans="1:18" x14ac:dyDescent="0.3">
      <c r="A5" s="10"/>
      <c r="B5" s="10"/>
      <c r="C5" s="10"/>
      <c r="D5" s="10"/>
      <c r="E5" s="10"/>
      <c r="F5" s="10"/>
      <c r="G5" s="10"/>
      <c r="H5" s="10"/>
      <c r="I5" s="10"/>
      <c r="J5" s="10"/>
      <c r="K5" s="10"/>
      <c r="L5" s="10"/>
      <c r="M5" s="10"/>
      <c r="N5" s="10"/>
      <c r="O5" s="10"/>
      <c r="P5" s="11" t="s">
        <v>117</v>
      </c>
      <c r="Q5" s="11"/>
      <c r="R5" s="10"/>
    </row>
    <row r="6" spans="1:18" x14ac:dyDescent="0.3">
      <c r="A6" s="10"/>
      <c r="B6" s="10"/>
      <c r="C6" s="10"/>
      <c r="D6" s="10"/>
      <c r="E6" s="10"/>
      <c r="F6" s="10"/>
      <c r="G6" s="10"/>
      <c r="H6" s="10"/>
      <c r="I6" s="10"/>
      <c r="J6" s="10"/>
      <c r="K6" s="10"/>
      <c r="L6" s="10"/>
      <c r="M6" s="10"/>
      <c r="N6" s="10"/>
      <c r="O6" s="10"/>
      <c r="P6" s="10"/>
      <c r="Q6" s="10"/>
      <c r="R6" s="10"/>
    </row>
    <row r="7" spans="1:18" x14ac:dyDescent="0.3">
      <c r="A7" s="10"/>
      <c r="B7" s="10"/>
      <c r="C7" s="10"/>
      <c r="D7" s="10"/>
      <c r="E7" s="10"/>
      <c r="F7" s="10"/>
      <c r="G7" s="10"/>
      <c r="H7" s="10"/>
      <c r="I7" s="10"/>
      <c r="J7" s="10"/>
      <c r="K7" s="10"/>
      <c r="L7" s="10"/>
      <c r="M7" s="10"/>
      <c r="N7" s="10"/>
      <c r="O7" s="10"/>
      <c r="P7" s="10"/>
      <c r="Q7" s="10"/>
      <c r="R7" s="10"/>
    </row>
    <row r="8" spans="1:18" x14ac:dyDescent="0.3">
      <c r="A8" s="10"/>
      <c r="B8" s="10"/>
      <c r="C8" s="10"/>
      <c r="D8" s="10"/>
      <c r="E8" s="10"/>
      <c r="F8" s="10"/>
      <c r="G8" s="10"/>
      <c r="H8" s="10"/>
      <c r="I8" s="10"/>
      <c r="J8" s="10"/>
      <c r="K8" s="10"/>
      <c r="L8" s="10"/>
      <c r="M8" s="10"/>
      <c r="N8" s="10"/>
      <c r="O8" s="10"/>
      <c r="P8" s="10"/>
      <c r="Q8" s="10"/>
      <c r="R8" s="10"/>
    </row>
    <row r="9" spans="1:18" x14ac:dyDescent="0.3">
      <c r="A9" s="10"/>
      <c r="B9" s="10"/>
      <c r="C9" s="10"/>
      <c r="D9" s="10"/>
      <c r="E9" s="10"/>
      <c r="F9" s="10"/>
      <c r="G9" s="10"/>
      <c r="H9" s="10"/>
      <c r="I9" s="10"/>
      <c r="J9" s="10"/>
      <c r="K9" s="10"/>
      <c r="L9" s="10"/>
      <c r="M9" s="10"/>
      <c r="N9" s="10"/>
      <c r="O9" s="10"/>
      <c r="P9" s="10"/>
      <c r="Q9" s="10"/>
      <c r="R9" s="10"/>
    </row>
    <row r="10" spans="1:18" x14ac:dyDescent="0.3">
      <c r="A10" s="10"/>
      <c r="B10" s="10"/>
      <c r="C10" s="10"/>
      <c r="D10" s="10"/>
      <c r="E10" s="10"/>
      <c r="F10" s="10"/>
      <c r="G10" s="10"/>
      <c r="H10" s="10"/>
      <c r="I10" s="10"/>
      <c r="J10" s="10"/>
      <c r="K10" s="10"/>
      <c r="L10" s="10"/>
      <c r="M10" s="10"/>
      <c r="N10" s="10"/>
      <c r="O10" s="10"/>
      <c r="P10" s="11" t="s">
        <v>118</v>
      </c>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1" t="s">
        <v>119</v>
      </c>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1" t="s">
        <v>124</v>
      </c>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9281E-A2FF-4A4F-A6D3-CC6045757BE9}">
  <dimension ref="A1:F8"/>
  <sheetViews>
    <sheetView workbookViewId="0">
      <selection activeCell="D10" sqref="D10"/>
    </sheetView>
  </sheetViews>
  <sheetFormatPr defaultRowHeight="14.4" x14ac:dyDescent="0.3"/>
  <cols>
    <col min="1" max="1" width="8.109375" customWidth="1"/>
    <col min="2" max="2" width="17.33203125" customWidth="1"/>
    <col min="3" max="3" width="11.109375" customWidth="1"/>
    <col min="4" max="4" width="10.109375" bestFit="1" customWidth="1"/>
    <col min="5" max="5" width="10.88671875" bestFit="1" customWidth="1"/>
    <col min="6" max="6" width="11.88671875" customWidth="1"/>
  </cols>
  <sheetData>
    <row r="1" spans="1:6" ht="19.2" customHeight="1" x14ac:dyDescent="0.3">
      <c r="A1" s="4" t="s">
        <v>3</v>
      </c>
      <c r="B1" s="4" t="s">
        <v>48</v>
      </c>
      <c r="C1" s="4" t="s">
        <v>49</v>
      </c>
      <c r="D1" s="4" t="s">
        <v>50</v>
      </c>
      <c r="E1" s="4" t="s">
        <v>51</v>
      </c>
      <c r="F1" s="4" t="s">
        <v>52</v>
      </c>
    </row>
    <row r="2" spans="1:6" x14ac:dyDescent="0.3">
      <c r="A2" s="2" t="s">
        <v>10</v>
      </c>
      <c r="B2" s="2" t="s">
        <v>53</v>
      </c>
      <c r="C2" s="2" t="s">
        <v>54</v>
      </c>
      <c r="D2" s="2">
        <v>12.5</v>
      </c>
      <c r="E2" s="2">
        <v>39.99</v>
      </c>
      <c r="F2" s="2" t="s">
        <v>55</v>
      </c>
    </row>
    <row r="3" spans="1:6" x14ac:dyDescent="0.3">
      <c r="A3" s="2" t="s">
        <v>19</v>
      </c>
      <c r="B3" s="2" t="s">
        <v>56</v>
      </c>
      <c r="C3" s="2" t="s">
        <v>54</v>
      </c>
      <c r="D3" s="2">
        <v>45</v>
      </c>
      <c r="E3" s="2">
        <v>129.99</v>
      </c>
      <c r="F3" s="2" t="s">
        <v>57</v>
      </c>
    </row>
    <row r="4" spans="1:6" x14ac:dyDescent="0.3">
      <c r="A4" s="2" t="s">
        <v>15</v>
      </c>
      <c r="B4" s="2" t="s">
        <v>58</v>
      </c>
      <c r="C4" s="2" t="s">
        <v>59</v>
      </c>
      <c r="D4" s="2">
        <v>85</v>
      </c>
      <c r="E4" s="2">
        <v>249.99</v>
      </c>
      <c r="F4" s="2" t="s">
        <v>60</v>
      </c>
    </row>
    <row r="5" spans="1:6" x14ac:dyDescent="0.3">
      <c r="A5" s="2" t="s">
        <v>29</v>
      </c>
      <c r="B5" s="2" t="s">
        <v>61</v>
      </c>
      <c r="C5" s="2" t="s">
        <v>59</v>
      </c>
      <c r="D5" s="2">
        <v>160</v>
      </c>
      <c r="E5" s="2">
        <v>450</v>
      </c>
      <c r="F5" s="2" t="s">
        <v>62</v>
      </c>
    </row>
    <row r="6" spans="1:6" x14ac:dyDescent="0.3">
      <c r="A6" s="2" t="s">
        <v>33</v>
      </c>
      <c r="B6" s="2" t="s">
        <v>63</v>
      </c>
      <c r="C6" s="2" t="s">
        <v>64</v>
      </c>
      <c r="D6" s="2">
        <v>15</v>
      </c>
      <c r="E6" s="2">
        <v>45</v>
      </c>
      <c r="F6" s="2" t="s">
        <v>65</v>
      </c>
    </row>
    <row r="7" spans="1:6" x14ac:dyDescent="0.3">
      <c r="A7" s="2" t="s">
        <v>24</v>
      </c>
      <c r="B7" s="2" t="s">
        <v>66</v>
      </c>
      <c r="C7" s="2" t="s">
        <v>54</v>
      </c>
      <c r="D7" s="2">
        <v>25</v>
      </c>
      <c r="E7" s="2">
        <v>75</v>
      </c>
      <c r="F7" s="2" t="s">
        <v>55</v>
      </c>
    </row>
    <row r="8" spans="1:6" x14ac:dyDescent="0.3">
      <c r="A8" s="2" t="s">
        <v>67</v>
      </c>
      <c r="B8" s="2" t="s">
        <v>68</v>
      </c>
      <c r="C8" s="2" t="s">
        <v>69</v>
      </c>
      <c r="D8" s="2">
        <v>5</v>
      </c>
      <c r="E8" s="2">
        <v>25</v>
      </c>
      <c r="F8" s="2" t="s">
        <v>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2363D-F2DF-48C3-B76C-E143EA4A5D75}">
  <dimension ref="A1:F11"/>
  <sheetViews>
    <sheetView workbookViewId="0">
      <selection activeCell="D2" sqref="D2"/>
    </sheetView>
  </sheetViews>
  <sheetFormatPr defaultRowHeight="14.4" x14ac:dyDescent="0.3"/>
  <cols>
    <col min="1" max="1" width="7.109375" customWidth="1"/>
    <col min="2" max="2" width="19" customWidth="1"/>
    <col min="3" max="3" width="22.33203125" customWidth="1"/>
    <col min="4" max="4" width="17.33203125" bestFit="1" customWidth="1"/>
    <col min="5" max="5" width="13.44140625" customWidth="1"/>
    <col min="6" max="6" width="13.6640625" customWidth="1"/>
  </cols>
  <sheetData>
    <row r="1" spans="1:6" x14ac:dyDescent="0.3">
      <c r="A1" s="4" t="s">
        <v>2</v>
      </c>
      <c r="B1" s="4" t="s">
        <v>71</v>
      </c>
      <c r="C1" s="4" t="s">
        <v>72</v>
      </c>
      <c r="D1" s="4" t="s">
        <v>73</v>
      </c>
      <c r="E1" s="5" t="s">
        <v>97</v>
      </c>
      <c r="F1" s="5" t="s">
        <v>98</v>
      </c>
    </row>
    <row r="2" spans="1:6" x14ac:dyDescent="0.3">
      <c r="A2" s="2" t="s">
        <v>9</v>
      </c>
      <c r="B2" s="2" t="s">
        <v>74</v>
      </c>
      <c r="C2" s="2" t="s">
        <v>75</v>
      </c>
      <c r="D2" s="2" t="s">
        <v>76</v>
      </c>
      <c r="E2" s="2" t="str">
        <f>PROPER(TRIM(B2))</f>
        <v>John Smith</v>
      </c>
      <c r="F2" s="1" t="str">
        <f>MID(C2,FIND("@",C2)+1,LEN(C2))</f>
        <v>gmail.com</v>
      </c>
    </row>
    <row r="3" spans="1:6" x14ac:dyDescent="0.3">
      <c r="A3" s="2" t="s">
        <v>18</v>
      </c>
      <c r="B3" s="2" t="s">
        <v>77</v>
      </c>
      <c r="C3" s="2" t="s">
        <v>78</v>
      </c>
      <c r="D3" s="2" t="s">
        <v>79</v>
      </c>
      <c r="E3" s="2" t="str">
        <f t="shared" ref="E3:E11" si="0">PROPER(TRIM(B3))</f>
        <v>Sarah Connor</v>
      </c>
      <c r="F3" s="1" t="str">
        <f t="shared" ref="F3:F11" si="1">MID(C3,FIND("@",C3)+1,LEN(C3))</f>
        <v>skynet.org</v>
      </c>
    </row>
    <row r="4" spans="1:6" x14ac:dyDescent="0.3">
      <c r="A4" s="2" t="s">
        <v>14</v>
      </c>
      <c r="B4" s="2" t="s">
        <v>80</v>
      </c>
      <c r="C4" s="2" t="s">
        <v>81</v>
      </c>
      <c r="D4" s="2" t="s">
        <v>82</v>
      </c>
      <c r="E4" s="2" t="str">
        <f t="shared" si="0"/>
        <v>Emily Blunt</v>
      </c>
      <c r="F4" s="1" t="str">
        <f t="shared" si="1"/>
        <v>studio.net</v>
      </c>
    </row>
    <row r="5" spans="1:6" x14ac:dyDescent="0.3">
      <c r="A5" s="2" t="s">
        <v>28</v>
      </c>
      <c r="B5" s="2" t="s">
        <v>83</v>
      </c>
      <c r="C5" s="2" t="s">
        <v>84</v>
      </c>
      <c r="D5" s="2" t="s">
        <v>76</v>
      </c>
      <c r="E5" s="2" t="str">
        <f t="shared" si="0"/>
        <v>Michael Scott</v>
      </c>
      <c r="F5" s="1" t="str">
        <f t="shared" si="1"/>
        <v>paperco.com</v>
      </c>
    </row>
    <row r="6" spans="1:6" x14ac:dyDescent="0.3">
      <c r="A6" s="2" t="s">
        <v>23</v>
      </c>
      <c r="B6" s="2" t="s">
        <v>85</v>
      </c>
      <c r="C6" s="2" t="s">
        <v>86</v>
      </c>
      <c r="D6" s="2" t="s">
        <v>79</v>
      </c>
      <c r="E6" s="2" t="str">
        <f t="shared" si="0"/>
        <v>Dwight Schrute</v>
      </c>
      <c r="F6" s="1" t="str">
        <f t="shared" si="1"/>
        <v>farms.com</v>
      </c>
    </row>
    <row r="7" spans="1:6" x14ac:dyDescent="0.3">
      <c r="A7" s="2" t="s">
        <v>32</v>
      </c>
      <c r="B7" s="2" t="s">
        <v>87</v>
      </c>
      <c r="C7" s="2" t="s">
        <v>88</v>
      </c>
      <c r="D7" s="2" t="s">
        <v>82</v>
      </c>
      <c r="E7" s="2" t="str">
        <f t="shared" si="0"/>
        <v>Jim Halpert</v>
      </c>
      <c r="F7" s="1" t="str">
        <f t="shared" si="1"/>
        <v>paperco.com</v>
      </c>
    </row>
    <row r="8" spans="1:6" x14ac:dyDescent="0.3">
      <c r="A8" s="2" t="s">
        <v>43</v>
      </c>
      <c r="B8" s="2" t="s">
        <v>89</v>
      </c>
      <c r="C8" s="2" t="s">
        <v>90</v>
      </c>
      <c r="D8" s="2" t="s">
        <v>79</v>
      </c>
      <c r="E8" s="2" t="str">
        <f t="shared" si="0"/>
        <v>Pam Beesly</v>
      </c>
      <c r="F8" s="1" t="str">
        <f t="shared" si="1"/>
        <v>paperco.com</v>
      </c>
    </row>
    <row r="9" spans="1:6" x14ac:dyDescent="0.3">
      <c r="A9" s="2" t="s">
        <v>36</v>
      </c>
      <c r="B9" s="2" t="s">
        <v>91</v>
      </c>
      <c r="C9" s="2" t="s">
        <v>92</v>
      </c>
      <c r="D9" s="2" t="s">
        <v>82</v>
      </c>
      <c r="E9" s="2" t="str">
        <f t="shared" si="0"/>
        <v>Ryan Howard</v>
      </c>
      <c r="F9" s="1" t="str">
        <f t="shared" si="1"/>
        <v>agency.com</v>
      </c>
    </row>
    <row r="10" spans="1:6" x14ac:dyDescent="0.3">
      <c r="A10" s="2" t="s">
        <v>40</v>
      </c>
      <c r="B10" s="2" t="s">
        <v>93</v>
      </c>
      <c r="C10" s="2" t="s">
        <v>94</v>
      </c>
      <c r="D10" s="2" t="s">
        <v>76</v>
      </c>
      <c r="E10" s="2" t="str">
        <f t="shared" si="0"/>
        <v>Creed Bratton</v>
      </c>
      <c r="F10" s="1" t="str">
        <f t="shared" si="1"/>
        <v>unknown.com</v>
      </c>
    </row>
    <row r="11" spans="1:6" x14ac:dyDescent="0.3">
      <c r="A11" s="2" t="s">
        <v>45</v>
      </c>
      <c r="B11" s="2" t="s">
        <v>95</v>
      </c>
      <c r="C11" s="2" t="s">
        <v>96</v>
      </c>
      <c r="D11" s="2" t="s">
        <v>79</v>
      </c>
      <c r="E11" s="2" t="str">
        <f t="shared" si="0"/>
        <v>Stanley Hudson</v>
      </c>
      <c r="F11" s="1" t="str">
        <f t="shared" si="1"/>
        <v>paperco.com</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Raw_orders</vt:lpstr>
      <vt:lpstr>Pivot</vt:lpstr>
      <vt:lpstr>Executive_Dashboard</vt:lpstr>
      <vt:lpstr>Product_Master</vt:lpstr>
      <vt:lpstr>Customer_database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Anudip1</dc:creator>
  <cp:lastModifiedBy>Harshali Bhopale</cp:lastModifiedBy>
  <dcterms:created xsi:type="dcterms:W3CDTF">2026-01-31T04:08:57Z</dcterms:created>
  <dcterms:modified xsi:type="dcterms:W3CDTF">2026-02-01T11:16:13Z</dcterms:modified>
</cp:coreProperties>
</file>